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ICING\Price Lists\2022 Price Lists\2022.4.1.Price Lists\"/>
    </mc:Choice>
  </mc:AlternateContent>
  <xr:revisionPtr revIDLastSave="0" documentId="13_ncr:1_{DBF6383A-069B-4C31-85E2-B6A9BF3A22B6}" xr6:coauthVersionLast="47" xr6:coauthVersionMax="47" xr10:uidLastSave="{00000000-0000-0000-0000-000000000000}"/>
  <bookViews>
    <workbookView xWindow="2505" yWindow="0" windowWidth="24855" windowHeight="14130" xr2:uid="{FDD69555-9A30-4BFD-9EC0-C32CA2031C19}"/>
  </bookViews>
  <sheets>
    <sheet name="SEARCH" sheetId="1" r:id="rId1"/>
    <sheet name="COMPLETE.protected" sheetId="3" r:id="rId2"/>
    <sheet name="COMPLETE.unprotect" sheetId="2" r:id="rId3"/>
  </sheets>
  <externalReferences>
    <externalReference r:id="rId4"/>
  </externalReferences>
  <definedNames>
    <definedName name="_xlnm._FilterDatabase" localSheetId="1" hidden="1">'COMPLETE.protected'!$E$1:$E$901</definedName>
    <definedName name="_xlnm._FilterDatabase" localSheetId="2" hidden="1">'COMPLETE.unprotect'!$E$1:$E$901</definedName>
    <definedName name="Betts_01_03_12" localSheetId="1">'COMPLETE.protected'!$A$2:$B$901</definedName>
    <definedName name="Betts_01_03_12" localSheetId="2">'COMPLETE.unprotect'!$A$2:$B$901</definedName>
    <definedName name="Betts_01_03_12_1" localSheetId="1">'COMPLETE.protected'!$A$2:$C$901</definedName>
    <definedName name="Betts_01_03_12_1" localSheetId="2">'COMPLETE.unprotect'!$A$2:$C$901</definedName>
    <definedName name="Betts_01_03_12_10" localSheetId="1">'COMPLETE.protected'!$A$2:$B$901</definedName>
    <definedName name="Betts_01_03_12_10" localSheetId="2">'COMPLETE.unprotect'!$A$2:$B$901</definedName>
    <definedName name="Betts_01_03_12_11" localSheetId="1">'COMPLETE.protected'!$A$2:$B$901</definedName>
    <definedName name="Betts_01_03_12_11" localSheetId="2">'COMPLETE.unprotect'!$A$2:$B$901</definedName>
    <definedName name="Betts_01_03_12_12" localSheetId="1">'COMPLETE.protected'!$A$2:$B$901</definedName>
    <definedName name="Betts_01_03_12_12" localSheetId="2">'COMPLETE.unprotect'!$A$2:$B$901</definedName>
    <definedName name="Betts_01_03_12_13" localSheetId="1">'COMPLETE.protected'!$A$2:$B$901</definedName>
    <definedName name="Betts_01_03_12_13" localSheetId="2">'COMPLETE.unprotect'!$A$2:$B$901</definedName>
    <definedName name="Betts_01_03_12_14" localSheetId="1">'COMPLETE.protected'!$A$2:$B$901</definedName>
    <definedName name="Betts_01_03_12_14" localSheetId="2">'COMPLETE.unprotect'!$A$2:$B$901</definedName>
    <definedName name="Betts_01_03_12_15" localSheetId="1">'COMPLETE.protected'!$A$2:$B$901</definedName>
    <definedName name="Betts_01_03_12_15" localSheetId="2">'COMPLETE.unprotect'!$A$2:$B$901</definedName>
    <definedName name="Betts_01_03_12_16" localSheetId="1">'COMPLETE.protected'!$A$2:$B$901</definedName>
    <definedName name="Betts_01_03_12_16" localSheetId="2">'COMPLETE.unprotect'!$A$2:$B$901</definedName>
    <definedName name="Betts_01_03_12_2" localSheetId="1">'COMPLETE.protected'!$A$2:$B$901</definedName>
    <definedName name="Betts_01_03_12_2" localSheetId="2">'COMPLETE.unprotect'!$A$2:$B$901</definedName>
    <definedName name="Betts_01_03_12_3" localSheetId="1">'COMPLETE.protected'!$A$2:$B$901</definedName>
    <definedName name="Betts_01_03_12_3" localSheetId="2">'COMPLETE.unprotect'!$A$2:$B$901</definedName>
    <definedName name="Betts_01_03_12_4" localSheetId="1">'COMPLETE.protected'!$A$2:$B$901</definedName>
    <definedName name="Betts_01_03_12_4" localSheetId="2">'COMPLETE.unprotect'!$A$2:$B$901</definedName>
    <definedName name="Betts_01_03_12_5" localSheetId="1">'COMPLETE.protected'!$A$2:$B$901</definedName>
    <definedName name="Betts_01_03_12_5" localSheetId="2">'COMPLETE.unprotect'!$A$2:$B$901</definedName>
    <definedName name="Betts_01_03_12_6" localSheetId="1">'COMPLETE.protected'!$A$2:$B$901</definedName>
    <definedName name="Betts_01_03_12_6" localSheetId="2">'COMPLETE.unprotect'!$A$2:$B$901</definedName>
    <definedName name="Betts_01_03_12_7" localSheetId="1">'COMPLETE.protected'!$A$2:$B$901</definedName>
    <definedName name="Betts_01_03_12_7" localSheetId="2">'COMPLETE.unprotect'!$A$2:$B$901</definedName>
    <definedName name="Betts_01_03_12_8" localSheetId="1">'COMPLETE.protected'!$A$2:$C$901</definedName>
    <definedName name="Betts_01_03_12_8" localSheetId="2">'COMPLETE.unprotect'!$A$2:$C$901</definedName>
    <definedName name="Betts_01_03_12_9" localSheetId="1">'COMPLETE.protected'!$A$2:$C$901</definedName>
    <definedName name="Betts_01_03_12_9" localSheetId="2">'COMPLETE.unprotect'!$A$2:$C$901</definedName>
    <definedName name="Betts_Price_List" localSheetId="1">'COMPLETE.protected'!#REF!</definedName>
    <definedName name="Betts_Price_List" localSheetId="2">'COMPLETE.unprotect'!#REF!</definedName>
    <definedName name="_xlnm.Print_Area" localSheetId="1">'COMPLETE.protected'!$A$1:$H$901</definedName>
    <definedName name="_xlnm.Print_Area" localSheetId="2">'COMPLETE.unprotect'!$A$1:$H$901</definedName>
    <definedName name="_xlnm.Print_Titles" localSheetId="1">'COMPLETE.protected'!$1:$1</definedName>
    <definedName name="_xlnm.Print_Titles" localSheetId="2">'COMPLETE.unprotect'!$1:$1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3" i="1"/>
  <c r="H71" i="1"/>
  <c r="E71" i="1"/>
  <c r="D71" i="1"/>
  <c r="C7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CEBF24-4D88-4EE8-BE1E-4FCA44357BD4}" name="Betts 01-03-1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" xr16:uid="{8AD7864B-2B5F-44A4-BBCB-45A782E371A3}" name="Betts 01-03-12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" xr16:uid="{D3E8CF2E-75E3-4047-9B25-36AD868CEAA8}" name="Betts 01-03-121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4" xr16:uid="{F4174D5A-5B18-40C5-B935-DE5F3A0D9D7F}" name="Betts 01-03-1211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5" xr16:uid="{DE62D420-47E4-4F32-9BC8-BAC86C4C0C12}" name="Betts 01-03-1211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6" xr16:uid="{26C6EB14-0FC4-4FD6-9B12-E2045ACC4EC0}" name="Betts 01-03-1211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7" xr16:uid="{C4B0EB7E-EB0E-4DD3-BAF1-B9CC799F39FE}" name="Betts 01-03-12112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8" xr16:uid="{89C6A6C8-B6F2-4DE7-A207-3FDD4F6C0700}" name="Betts 01-03-1211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9" xr16:uid="{BC655B09-4C8B-4D31-B76E-5745D1D63235}" name="Betts 01-03-121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0" xr16:uid="{CF79682F-CB58-41DD-BBA9-2EEDD4C27137}" name="Betts 01-03-121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1" xr16:uid="{2DB82F08-ADF1-4944-A6E5-015AD62F0272}" name="Betts 01-03-12115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2" xr16:uid="{1E170CE5-471C-464A-8094-FA130337B5CC}" name="Betts 01-03-12115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3" xr16:uid="{6E52F351-0DA2-4C7D-8F42-94BB545EEDB1}" name="Betts 01-03-1212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4" xr16:uid="{1EBEBFCA-6EA2-41E2-9A89-2A1163084024}" name="Betts 01-03-1212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5" xr16:uid="{176B96EC-9416-4028-BA57-4659F1FFABF9}" name="Betts 01-03-1212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6" xr16:uid="{9A2207E7-9E06-4CC8-9CAF-1B798945D16B}" name="Betts 01-03-1212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7" xr16:uid="{681FFC24-BA96-48E5-ADD0-433CF6310726}" name="Betts 01-03-12122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8" xr16:uid="{AF11DD62-3304-4009-8D85-0E3DB79810D6}" name="Betts 01-03-1212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19" xr16:uid="{E1FB3CA8-3403-40B4-A662-45EF4E5320FD}" name="Betts 01-03-1212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0" xr16:uid="{D6E5AF7A-3A2E-411E-9FDF-AD9C6F668A6C}" name="Betts 01-03-1212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1" xr16:uid="{C69A21D5-CA12-4BCB-BFB1-0D1D29CDEC46}" name="Betts 01-03-12125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2" xr16:uid="{FD03044C-1A3D-4C27-A65E-673F58740F76}" name="Betts 01-03-12125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3" xr16:uid="{A1B2FB86-44A9-46F0-8F5A-C129D4A0070B}" name="Betts 01-03-122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4" xr16:uid="{945C4CC9-4A7F-444F-88B4-0A75DCC870B7}" name="Betts 01-03-12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5" xr16:uid="{DA41E17F-EFF8-4D91-9D5F-F8A5066DFE3E}" name="Betts 01-03-122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6" xr16:uid="{F2DA6501-022A-41BC-B7F1-56F378586376}" name="Betts 01-03-122111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7" xr16:uid="{680C2511-FC6B-45D3-B872-FC2329F306C8}" name="Betts 01-03-1221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8" xr16:uid="{C21BD58F-54EF-4224-B8A7-DEC773B86831}" name="Betts 01-03-1221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29" xr16:uid="{18231AAB-9853-43CA-99C3-BAE173F27056}" name="Betts 01-03-12212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0" xr16:uid="{6B98109B-72AB-4A57-970A-82F75733C84A}" name="Betts 01-03-12212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1" xr16:uid="{4D3DE6FD-A143-4543-9B5B-7E99EC3CD4FD}" name="Betts 01-03-12213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2" xr16:uid="{3F8EACEB-1BEE-4FA4-8936-7A5FD0F808FE}" name="Betts 01-03-12213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3" xr16:uid="{A80AB0EF-9B2E-4F02-B0FC-AB0BF4A23617}" name="Betts 01-03-12215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  <connection id="34" xr16:uid="{D02B22BC-379D-4A92-A7C7-FA5E826F1282}" name="Betts 01-03-122151" type="6" refreshedVersion="3" background="1" saveData="1">
    <textPr codePage="1146" sourceFile="F:\Price List Files\Betts 01-03-12.txt" delimited="0">
      <textFields count="7">
        <textField/>
        <textField position="16"/>
        <textField position="47"/>
        <textField position="55"/>
        <textField position="67"/>
        <textField position="75"/>
        <textField position="90"/>
      </textFields>
    </textPr>
  </connection>
</connections>
</file>

<file path=xl/sharedStrings.xml><?xml version="1.0" encoding="utf-8"?>
<sst xmlns="http://schemas.openxmlformats.org/spreadsheetml/2006/main" count="5296" uniqueCount="1359">
  <si>
    <r>
      <t xml:space="preserve">To use this sheet simply enter in the Item Number, the remainder of the information will fill automatically. Click on the reset button to </t>
    </r>
    <r>
      <rPr>
        <b/>
        <i/>
        <sz val="12"/>
        <rFont val="Arial"/>
        <family val="2"/>
      </rPr>
      <t>Clear</t>
    </r>
    <r>
      <rPr>
        <i/>
        <sz val="12"/>
        <rFont val="Arial"/>
        <family val="2"/>
      </rPr>
      <t xml:space="preserve"> the Sheet. </t>
    </r>
    <r>
      <rPr>
        <i/>
        <sz val="8"/>
        <color indexed="10"/>
        <rFont val="Arial"/>
        <family val="2"/>
      </rPr>
      <t>(Please note that pricing on this sheet is not intended to override pre-existing contracts between Betts Industries and any given vendor)</t>
    </r>
  </si>
  <si>
    <t>Item Number</t>
  </si>
  <si>
    <t>Item Description</t>
  </si>
  <si>
    <t>Retail Price</t>
  </si>
  <si>
    <t>Your Price</t>
  </si>
  <si>
    <t>Quantity Discount</t>
  </si>
  <si>
    <t>Qty Discount Price</t>
  </si>
  <si>
    <t>Effective Date</t>
  </si>
  <si>
    <t xml:space="preserve"> </t>
  </si>
  <si>
    <t>The pricing represented here is not intended to override pre-existing contractual agreeements with any vendors.</t>
  </si>
  <si>
    <t>Qty Discount</t>
  </si>
  <si>
    <t>Termination Date</t>
  </si>
  <si>
    <t>BULB #67 MINI LAMP BULK PK 12V</t>
  </si>
  <si>
    <t>BULB #1156 MINI LAMP BULK 12V</t>
  </si>
  <si>
    <t>BULB #1665 24V 21CP</t>
  </si>
  <si>
    <t>BULB #4416 SEALED BEAM SPOTLIT</t>
  </si>
  <si>
    <t>BULB #4466  SEALED BEAM LAMP</t>
  </si>
  <si>
    <t>BULB #4593 SEALED BEAM 24V</t>
  </si>
  <si>
    <t>BODY (VALOX) GAUGE HOLDER</t>
  </si>
  <si>
    <t>CHOKE SEAL (1RPS) LESS O-RING</t>
  </si>
  <si>
    <t>CLR/MKR RED (200-05122)</t>
  </si>
  <si>
    <t>CLR/MKR AMBER (200-05132)</t>
  </si>
  <si>
    <t>I.D. BAR RED (200-09122)</t>
  </si>
  <si>
    <t>I.D. BAR RED (200G-09122)</t>
  </si>
  <si>
    <t>CLR/MKR RED (200V-05122)</t>
  </si>
  <si>
    <t>CLR/MKR AMBER (200V-05132)</t>
  </si>
  <si>
    <t>DOME CABINET CLEAR (200-06112)</t>
  </si>
  <si>
    <t>DOME CABINET CLR (200V-06112)</t>
  </si>
  <si>
    <t>CLR/MKR-LED RED  1 END</t>
  </si>
  <si>
    <t>CLR/MKR-LED AMBER  1 END</t>
  </si>
  <si>
    <t>I.D. BAR-LED RED  1 END</t>
  </si>
  <si>
    <t>I.D.BAR-LED RED  1 END  18' CA</t>
  </si>
  <si>
    <t>LED CLR/MKR 12V RED 1 END</t>
  </si>
  <si>
    <t>LED CLR/MKR 12V AMBER 1 END</t>
  </si>
  <si>
    <t>LED CABINET 12V WHITE 1 END</t>
  </si>
  <si>
    <t>LED LENS ASMY-RED W/1EYE 1BUTT</t>
  </si>
  <si>
    <t>LED LENS ASMY AMB W/1EYE 1BUTT</t>
  </si>
  <si>
    <t>CLR/MKR RED (210-05122)</t>
  </si>
  <si>
    <t>CLR/MKR AMBER (210-05132)</t>
  </si>
  <si>
    <t>I.D. BAR RED (210-09122)</t>
  </si>
  <si>
    <t>CLR/MKR RED (210V-05122)</t>
  </si>
  <si>
    <t>CLR/MKR AMBER (210V-05132)</t>
  </si>
  <si>
    <t>DOME LAMP CLEAR (210V-06112)</t>
  </si>
  <si>
    <t>CLR/MKR-LED RED  2 END</t>
  </si>
  <si>
    <t>CLR/MKR-LED AMBER  2 END</t>
  </si>
  <si>
    <t>I.D.BAR-LED RED  2 END</t>
  </si>
  <si>
    <t>LED CLR/MKR 12V RED 2 END</t>
  </si>
  <si>
    <t>LED CLR/MKR 12V AMBER 2 END</t>
  </si>
  <si>
    <t>LED CABINET 12V WHITE 2 END</t>
  </si>
  <si>
    <t>CLR/MKR RED (211-05122)</t>
  </si>
  <si>
    <t>CLR/MKR AMBER (211-05132)</t>
  </si>
  <si>
    <t>I.D. BAR RED (211-09122)</t>
  </si>
  <si>
    <t>CLR/MKR RED (211V-05122)</t>
  </si>
  <si>
    <t>CLR/MKR AMBER (211V-05132)</t>
  </si>
  <si>
    <t>CLR/MKR RED W/4  PLUG</t>
  </si>
  <si>
    <t>CLR/MKR AMBER W/4  PLUG</t>
  </si>
  <si>
    <t>CLR/MKR RED W/12  PLUG</t>
  </si>
  <si>
    <t>CLR/MKR-LED RED  1 REAR</t>
  </si>
  <si>
    <t>CLR/MKR-LED AMBER  1 REAR</t>
  </si>
  <si>
    <t>I.D.BAR-LED RED  1 REAR</t>
  </si>
  <si>
    <t>C/M LED RED 1 REAR</t>
  </si>
  <si>
    <t>C/M LED AMBER  1 REAR</t>
  </si>
  <si>
    <t>LED CLR/MKR RED W/4  PLUG</t>
  </si>
  <si>
    <t>LED CLR/MKR AMBER W/4  PLUG</t>
  </si>
  <si>
    <t>LED CLR/MKR RED W/12  PLUG</t>
  </si>
  <si>
    <t>LED CLR/MKR AMBER W/12  PLUG</t>
  </si>
  <si>
    <t>DUAL LED CLEARANCE RED MARKER</t>
  </si>
  <si>
    <t>DUAL LED CLEARANCE AMB MARKER</t>
  </si>
  <si>
    <t>CLR/MKR RED (212V-05122)</t>
  </si>
  <si>
    <t>CLR/MKR AMBER (212V-05132)</t>
  </si>
  <si>
    <t>CLR/MKR-LED RED  2 REAR</t>
  </si>
  <si>
    <t>CLR/MKR-LED AMBER  2 REAR</t>
  </si>
  <si>
    <t>C/M LED RED  2 REAR</t>
  </si>
  <si>
    <t>C/M LED AMBER  2 REAR</t>
  </si>
  <si>
    <t>CLR/MKR RED (213-05122)</t>
  </si>
  <si>
    <t>CLR/MKR AMBER (213-05132)</t>
  </si>
  <si>
    <t>CLR/MKR-LED RED</t>
  </si>
  <si>
    <t>I.D.BAR-LED RED  2 REAR</t>
  </si>
  <si>
    <t>CLR/MKR RED (215V-05122)</t>
  </si>
  <si>
    <t>CLR/MKR AMBER (215V-05132)</t>
  </si>
  <si>
    <t>LED CLR/MKR RED 1 WIRE</t>
  </si>
  <si>
    <t>LED CLR/MKR AMB 1 WIRE</t>
  </si>
  <si>
    <t>C/M LED LENS ASSY RED W/EYELET</t>
  </si>
  <si>
    <t>C/M LED LENS ASY AMBER W/EYE</t>
  </si>
  <si>
    <t>DOME-CAB LED LENS  WHITE W/EYE</t>
  </si>
  <si>
    <t>SPEC PURP MV RED 3-WIRE</t>
  </si>
  <si>
    <t>SPEC PURP MV AMBER 3-WIRE</t>
  </si>
  <si>
    <t>LED CLR/MKR RED 1 WIRE BLACK</t>
  </si>
  <si>
    <t>LED CLR/MKR AMB 1 WIRE BLACK</t>
  </si>
  <si>
    <t>JUNCTION BOX (35181AL)</t>
  </si>
  <si>
    <t>HEAVY DUTY NOSE BOX</t>
  </si>
  <si>
    <t>HEAVY DUTY NOSE BOX CB</t>
  </si>
  <si>
    <t>NOSE BOX-DUAL SOCKET F/ABS</t>
  </si>
  <si>
    <t>NOSE BOX-DUAL SKT STAG WHITE</t>
  </si>
  <si>
    <t>NOSE BOX (300012) WHITE</t>
  </si>
  <si>
    <t>JUNCTION BOX 4X8 WITH FITTINGS</t>
  </si>
  <si>
    <t>JUNCTION BOX 4X8</t>
  </si>
  <si>
    <t>STP/TRN/TL RED (40V-02122)</t>
  </si>
  <si>
    <t>STP/TRN/TL RED (40V-02222)</t>
  </si>
  <si>
    <t>STP/TRN/TL/LIC RED (40V-03222)</t>
  </si>
  <si>
    <t>BACK-UP (40V-04112)</t>
  </si>
  <si>
    <t>FLOOD (40V-07113)</t>
  </si>
  <si>
    <t>JUNCTION BOX (40V-08112)</t>
  </si>
  <si>
    <t>STP/TRN/TL RED (40VA-02122)</t>
  </si>
  <si>
    <t>JUNCTION BOX (40VA-08112)</t>
  </si>
  <si>
    <t>STOP OR TURN RED (40VG-01122)</t>
  </si>
  <si>
    <t>STP/TRN/ TL RED (40VG-02122)</t>
  </si>
  <si>
    <t>STP/TRN/TL RED (40VG-02222)</t>
  </si>
  <si>
    <t>BACK-UP (40VG-04112)</t>
  </si>
  <si>
    <t>STOP OR TURN RED (40VR-01122)</t>
  </si>
  <si>
    <t>STP/TRN/TL RED (40VR-02122)</t>
  </si>
  <si>
    <t>STP/RTN/TL RED (40VR-02222)</t>
  </si>
  <si>
    <t>STP/TRN/TL/LIC RED(40VR-03222)</t>
  </si>
  <si>
    <t>BACK-UP (40VR-04112)</t>
  </si>
  <si>
    <t>GAUGE HOLDER (VALOX)</t>
  </si>
  <si>
    <t>NOSE BOX VALOX(W/920064 ONLY)</t>
  </si>
  <si>
    <t>NOSE BOX VALOX W/7POLE SOCKET</t>
  </si>
  <si>
    <t>BACK UP W/GRD STRAP</t>
  </si>
  <si>
    <t>JUNCTION BOX</t>
  </si>
  <si>
    <t>LED NARROW FLOOD VALOX BODY</t>
  </si>
  <si>
    <t>LED TURN AMBER SHALLOW</t>
  </si>
  <si>
    <t>LED S/T/T RED SHALLOW</t>
  </si>
  <si>
    <t>LED S/T/T RED DEEP</t>
  </si>
  <si>
    <t>BACK-UP LED(40V-04112)</t>
  </si>
  <si>
    <t>LED S/T/T RED W/18  PIGTAILS</t>
  </si>
  <si>
    <t>LED TURN AMB W/3 CHOKE SEALS</t>
  </si>
  <si>
    <t>LED S/T/T RED  W/3 CHOKE SEALS</t>
  </si>
  <si>
    <t>BACK-UP LED (40VG-04112)</t>
  </si>
  <si>
    <t>LED TURN AMB (70 REPLACEMENT)</t>
  </si>
  <si>
    <t>LED S/T/T RED (70 REPLACEMENT)</t>
  </si>
  <si>
    <t>LED TURN AMBER DEEP</t>
  </si>
  <si>
    <t>BACK-UP  LED (40VR-04112)</t>
  </si>
  <si>
    <t>LED S/T/T RED SHAL W/GRD STRAP</t>
  </si>
  <si>
    <t>BACK UP LED W/GRD STRAP</t>
  </si>
  <si>
    <t>LED S/T/T RED SHAL W/GRD/WIRES</t>
  </si>
  <si>
    <t>LED TRN/TL RED SH CS 12  PLUG</t>
  </si>
  <si>
    <t>LED STP/TL RED SH CS 12  PLUG</t>
  </si>
  <si>
    <t>LED STP/TL RED SH RS 12  PLUG</t>
  </si>
  <si>
    <t>LED TRN/TL RED DP RS 12  PLUG</t>
  </si>
  <si>
    <t>LED TURN/TAIL RED SH CS 4  PLG</t>
  </si>
  <si>
    <t>LED TURN/TAIL RED SH RS 4  PLG</t>
  </si>
  <si>
    <t>LED STOP/TAIL RED SH CS 4  PLG</t>
  </si>
  <si>
    <t>LED STOP/TAIL RED SH RS 4  PLG</t>
  </si>
  <si>
    <t>LED TRN ONLY AMB SH CS 12  PLG</t>
  </si>
  <si>
    <t>LED TURN ONLY AMB SH CS 4  PLG</t>
  </si>
  <si>
    <t>LED TURN ONLY AMB SH RS 4  PLG</t>
  </si>
  <si>
    <t>BACKUP LED W/4  PLUG</t>
  </si>
  <si>
    <t>LED-BACK-UP SNG DIODE</t>
  </si>
  <si>
    <t>STP/TRN/TL/LIC LED RED (40VG)</t>
  </si>
  <si>
    <t>LED TRN/TL RED SH RS 12  PLUG</t>
  </si>
  <si>
    <t>ANG.MTG.RING W/LED PAR NO WIRE</t>
  </si>
  <si>
    <t>LED  AMBER SEQUENTIAL ARROW MV</t>
  </si>
  <si>
    <t>MODULE LH ALUM (A412-L)</t>
  </si>
  <si>
    <t>MODULE RH ALUM (A412-R)</t>
  </si>
  <si>
    <t>LED-3 LAMP MODULE LH ALUM</t>
  </si>
  <si>
    <t>LED-3 LAMP MODULE W/SM LH ALUM</t>
  </si>
  <si>
    <t>LED-3 LAMP MODULE RH ALUM</t>
  </si>
  <si>
    <t>LED-3 LAMP MODULE W/SM RH ALUM</t>
  </si>
  <si>
    <t>S.DIODEI 3 LMP MOD W/SM LH AL</t>
  </si>
  <si>
    <t>S.DIODE MOD 3 LAMP W/SM RH AL</t>
  </si>
  <si>
    <t>LED-3 LMP MODULE W/SM LH STEEL</t>
  </si>
  <si>
    <t>LED-3 LMP MODULE W/SM RH STEEL</t>
  </si>
  <si>
    <t>STP/TRN/TL RED (45V-02122)</t>
  </si>
  <si>
    <t>STP/TRN/TL/LIC RED (45V-03222)</t>
  </si>
  <si>
    <t>BACK-UP (45V-04112)</t>
  </si>
  <si>
    <t>FLOOD (45V-07113)</t>
  </si>
  <si>
    <t>JUNCTION BOX (45V-08112)</t>
  </si>
  <si>
    <t>STP/TRN/TL RED (45VA-02122)</t>
  </si>
  <si>
    <t>STP/TRN/TL RED (45VAG-02122)</t>
  </si>
  <si>
    <t>BACK-UP (45VG-04112)</t>
  </si>
  <si>
    <t>JUNCTION BOX (45VAG-08112)</t>
  </si>
  <si>
    <t>LED TURN SHALLOW 12V AMBER</t>
  </si>
  <si>
    <t>LED-S/T/T RED SHAL VALOX</t>
  </si>
  <si>
    <t>LED-S/T/T  RED  DEEP VALOX</t>
  </si>
  <si>
    <t>BACK-UP LED (45V-04112)</t>
  </si>
  <si>
    <t>LED-S/T/T RED 18  PIGTAIL</t>
  </si>
  <si>
    <t>LED-S/T/T RED 8FT CABLE</t>
  </si>
  <si>
    <t>LED-S/T/T RED W/3 CHOKE SEALS</t>
  </si>
  <si>
    <t>BACK-UP LED (45VG-04112)</t>
  </si>
  <si>
    <t>BACK-UP LED (45VAG-04112)</t>
  </si>
  <si>
    <t>LED TURN/TL RED SH CS 4  PLUG</t>
  </si>
  <si>
    <t>LED TURN/TL RED SH RS 4  PLUG</t>
  </si>
  <si>
    <t>LED STOP/TL RED SH CS 4  PLUG</t>
  </si>
  <si>
    <t>LED STOP/TL RED SH RS 4  PLUG</t>
  </si>
  <si>
    <t>LED S/T/T RED DEEP W/GRD STRAP</t>
  </si>
  <si>
    <t>LED LUX-S/T/T W/PLUG RS SHAL</t>
  </si>
  <si>
    <t>LED MV BACK UP</t>
  </si>
  <si>
    <t>LED MV BACK UP W/8' 2 COND</t>
  </si>
  <si>
    <t>LED-SEQ. ARR. AMB. BL W/920413</t>
  </si>
  <si>
    <t>LED-SEQ. ARR. AMB. GR.W/920413</t>
  </si>
  <si>
    <t>LED SEQ. ARROW TURN KIT CS</t>
  </si>
  <si>
    <t>LED SEQ. ARROW TURN KIT RS</t>
  </si>
  <si>
    <t>DOME SHALLOW LENS (VALOX)</t>
  </si>
  <si>
    <t>STP/TRN/TL/LIC RED (47V-03222)</t>
  </si>
  <si>
    <t>FLOOD CLEAR (47V-07113)</t>
  </si>
  <si>
    <t>JUNCTION BOX (47V-08112)</t>
  </si>
  <si>
    <t>BEACON HALGN AMBER (47V-24232)</t>
  </si>
  <si>
    <t>JUNCTION BX W/7 POLE TERM DISC</t>
  </si>
  <si>
    <t>JUNCTION BOX (47VAG-08112)</t>
  </si>
  <si>
    <t>DOME DEEP LENS (VALOX)</t>
  </si>
  <si>
    <t>JUNCTION BOX (47VB-08112)</t>
  </si>
  <si>
    <t>LUX DOME SH MV</t>
  </si>
  <si>
    <t>LUX DOME DP MV</t>
  </si>
  <si>
    <t>LED S/T/T SHALLOW 12V RED</t>
  </si>
  <si>
    <t>STP/TRN/TL/LIC LED RED (47V)</t>
  </si>
  <si>
    <t>LED STROBE AMB SURF MOUNT</t>
  </si>
  <si>
    <t>BACKUP B-50V W/GROUND STRAP</t>
  </si>
  <si>
    <t>CLR/MKR RED SH B-50V W/GR STRP</t>
  </si>
  <si>
    <t>CLR/MKR AMBER SH B-50V W/GS</t>
  </si>
  <si>
    <t>CLR/MKR RED DP B-50V W/GR STRP</t>
  </si>
  <si>
    <t>CLR/MKR AMBER DP B-50V W/GS</t>
  </si>
  <si>
    <t>DOME B-50V SH W/GROUND STRAP</t>
  </si>
  <si>
    <t>SP PURP B-50V D.C. RED W/GS</t>
  </si>
  <si>
    <t>SP PURP B-50V D.C. AMBER W/GS</t>
  </si>
  <si>
    <t>CLR/MKR/LIC RED B-50V W/GS</t>
  </si>
  <si>
    <t>LED-CLR/MKR RED B-50V</t>
  </si>
  <si>
    <t>LED-CLR/MKR AMBER B-50V</t>
  </si>
  <si>
    <t>LED-CLR/MKR RED DEEP B-50V</t>
  </si>
  <si>
    <t>LED-CLR/MKR AMBER DEEP B-50V</t>
  </si>
  <si>
    <t>LED-CLR/MKR AMB B-50V</t>
  </si>
  <si>
    <t>LED-CLR/MKR RED DP B-50V</t>
  </si>
  <si>
    <t>LED-CLR/MKR AMB DP B-50V</t>
  </si>
  <si>
    <t>LED-SP PURP D.C. RED B-50V</t>
  </si>
  <si>
    <t>LED-SP PURP D.C. AMB B-50V</t>
  </si>
  <si>
    <t>LED-SP PURP SH D.C. RED B-50V</t>
  </si>
  <si>
    <t>LED-SP PURP SH D.C. AMB B-50V</t>
  </si>
  <si>
    <t>CLR/MKR RED LED W/EYELETS</t>
  </si>
  <si>
    <t>CLR/MKR AMB LED W/EYELETS</t>
  </si>
  <si>
    <t>C/M RED LED W/2 BUTT CONNECTOR</t>
  </si>
  <si>
    <t>C/M AMBER LED W/2 BUTT CONNECT</t>
  </si>
  <si>
    <t>C/M RED LED W/BUTT &amp; EYELET</t>
  </si>
  <si>
    <t>C//M AMBER LED W/BUTT &amp; EYELET</t>
  </si>
  <si>
    <t>C/M RED LED SH S.C W/BASE</t>
  </si>
  <si>
    <t>C/M AMBER LED SH S.C W/BASE</t>
  </si>
  <si>
    <t>C/M RED LED DP S.C. W/EYELETS</t>
  </si>
  <si>
    <t>C/M AMBER LED DP S.C W/EYELETS</t>
  </si>
  <si>
    <t>C/M RED LED DP W/2 BUTT CONNEC</t>
  </si>
  <si>
    <t>C/M AMBER LED DP W/2 BUTT CONN</t>
  </si>
  <si>
    <t>C/M RED LED DP W/EYELET&amp;BUTT</t>
  </si>
  <si>
    <t>C/M AMBER LED DP W/EYELET&amp;BUTT</t>
  </si>
  <si>
    <t>C/M RED LED DP S.C</t>
  </si>
  <si>
    <t>C/M AMB LED DP S.C</t>
  </si>
  <si>
    <t>C/M RED LED SH D.C W/EYELETS</t>
  </si>
  <si>
    <t>C/M AMBER LED SH D.C W/EYELETS</t>
  </si>
  <si>
    <t>C/M RED LED SH D.C W/BUTT</t>
  </si>
  <si>
    <t>C/M AMBER LED SH D.C W/BUTT</t>
  </si>
  <si>
    <t>C/M RED LED SH D.C W/BU/EY</t>
  </si>
  <si>
    <t>C/M AMB LED SH D.C BUT/EYE</t>
  </si>
  <si>
    <t>C/M RED LED DP D.C W/EYELETS</t>
  </si>
  <si>
    <t>C/M AMBER LED DP D.C W/EYELETS</t>
  </si>
  <si>
    <t>C/M RED LED DP DC W/BUTT</t>
  </si>
  <si>
    <t>C/M AMBER LED DP DC W/BUTT</t>
  </si>
  <si>
    <t>C/M AMB LED DP DC W/BU/EY</t>
  </si>
  <si>
    <t>RED LED DP MV DC W/EYELETS</t>
  </si>
  <si>
    <t>SP AMB LED SH MV D.C W/EYELETS</t>
  </si>
  <si>
    <t>SP WHITE LED SH MV W/EYELETS</t>
  </si>
  <si>
    <t>SP WHITE LED DP MV W/EYELETS</t>
  </si>
  <si>
    <t>SP BLUE LED DEEP MV DC W/EYE</t>
  </si>
  <si>
    <t>SP CL/MK AMB LED W/CL SH LENS</t>
  </si>
  <si>
    <t>SP C/MK RED LED DC W/CL SH LEN</t>
  </si>
  <si>
    <t>SP C/MK RED LED DC W/CL DP LEN</t>
  </si>
  <si>
    <t>SP CL/MK AMB LED W/CL DP LENS</t>
  </si>
  <si>
    <t>CLR/MKR RED (56V-05222)</t>
  </si>
  <si>
    <t>CLR/MKR AMBER (56V-05232)</t>
  </si>
  <si>
    <t>CLR/MKR RED (56V-05122)</t>
  </si>
  <si>
    <t>CLR/MKR AMBER (56V-05132)</t>
  </si>
  <si>
    <t>JUNCTION BOX (56V-08112)</t>
  </si>
  <si>
    <t>SPECIAL PURPOSE D.C. RED</t>
  </si>
  <si>
    <t>SPECIAL PURPOSE D.C. AMBER</t>
  </si>
  <si>
    <t>CLR/MKR LIC RED (56V-22222)</t>
  </si>
  <si>
    <t>CLR/MKR RED (56VG-05122)</t>
  </si>
  <si>
    <t>CLR/MKR AMBER (56VG-05132)</t>
  </si>
  <si>
    <t>CLR/MKR RED (56VG-05222)</t>
  </si>
  <si>
    <t>CLR/MKR AMBER (56VG-05232)</t>
  </si>
  <si>
    <t>CLR/MKR LIC RED (56VG-22222)</t>
  </si>
  <si>
    <t>DOME (56V-06112)</t>
  </si>
  <si>
    <t>CLR/MKR RED SHALLOW 4  PLUG</t>
  </si>
  <si>
    <t>CLR/MKR RED DEEP 4  PLUG</t>
  </si>
  <si>
    <t>CLR/MKR RED SHALLOW 12  PLUG</t>
  </si>
  <si>
    <t>PUSH BUTTON SWITCH (56V-195)</t>
  </si>
  <si>
    <t>PUSH BUTTON SWITCH (56V-195MO)</t>
  </si>
  <si>
    <t>LED-CLR/MKR RED (56V-05222)</t>
  </si>
  <si>
    <t>LED-CLR/MKR AMBER (56V-05232)</t>
  </si>
  <si>
    <t>LED-CLR/MKR RED</t>
  </si>
  <si>
    <t>LED-CLR/MKR AMBER</t>
  </si>
  <si>
    <t>LED-SPECIAL PURPOSE D.C. RED</t>
  </si>
  <si>
    <t>LED-SPECIAL PURPOSE D.C. AMBER</t>
  </si>
  <si>
    <t>LED-CLR/MKR RED (56VG-05122)</t>
  </si>
  <si>
    <t>LED-CLR/MKR AMBER (56VG-05132)</t>
  </si>
  <si>
    <t>LED-CLR/MKR RED (56VG-05222)</t>
  </si>
  <si>
    <t>LED-CLR/MKR AMBER (56VG-05232)</t>
  </si>
  <si>
    <t>LED-SPECIAL PURPOSE RED</t>
  </si>
  <si>
    <t>LED-SPECIAL PURPOSE AMBER</t>
  </si>
  <si>
    <t>LED CLR/MKR RED SH W/4  PLUG</t>
  </si>
  <si>
    <t>LED CLR/MKR AMBER SH W/4  PLUG</t>
  </si>
  <si>
    <t>LED CLR/MKR RED DEEP W/4  PLUG</t>
  </si>
  <si>
    <t>LED CLR/MKR RED SH W/12  PLUG</t>
  </si>
  <si>
    <t>LED CLR/MKR AMB SH W/12  PLUG</t>
  </si>
  <si>
    <t>LED CLR/MKR RED DP W/12  PLUG</t>
  </si>
  <si>
    <t>LED CLR/MKR AMB DP W/12  PLUG</t>
  </si>
  <si>
    <t>LED-SPECIAL PURP. D.C. SH RED</t>
  </si>
  <si>
    <t>LED-SPECIAL PURP. D.C. SH AMB.</t>
  </si>
  <si>
    <t>LED-CLR/MKR AMBER W/GRD STRAP</t>
  </si>
  <si>
    <t>LED-CLR/MKR  AMB W/GRD STRAP</t>
  </si>
  <si>
    <t>LED-SPECL PUR. DC SH RED W/GRD</t>
  </si>
  <si>
    <t>LED-SPEC PURP DC SH AMB W/GRD</t>
  </si>
  <si>
    <t>LED-CLR/MKR RED W/GRD STRAP</t>
  </si>
  <si>
    <t>LED AMBER DEEP DC CS 4  PLUG</t>
  </si>
  <si>
    <t>LED AMBER DEEP DC RS 4  PLUG</t>
  </si>
  <si>
    <t>LED AMBER DEEP DC CS 12  PLUG</t>
  </si>
  <si>
    <t>LED AMBER DEEP DC RS 12  PLUG</t>
  </si>
  <si>
    <t>LED-S.P. D.C. RED  DP MV</t>
  </si>
  <si>
    <t>LED-S. P. D.C. SH RED MV</t>
  </si>
  <si>
    <t>LED-S. P. D.C. SH AMBER MV</t>
  </si>
  <si>
    <t>LED-DOME DEEP MV NO HOLE</t>
  </si>
  <si>
    <t>CLR/MKR RED VALOX</t>
  </si>
  <si>
    <t>CLR/MKR AMBER VALOX</t>
  </si>
  <si>
    <t>DOME VALOX</t>
  </si>
  <si>
    <t>DOME VALOX WITH SWITCH</t>
  </si>
  <si>
    <t>JUNCTION BOX VALOX</t>
  </si>
  <si>
    <t>PUSH BUTTON SWITCH BOX VALOX</t>
  </si>
  <si>
    <t>TRN/MKR RED VALOX</t>
  </si>
  <si>
    <t>CLR/MKR/LIC RED VALOX</t>
  </si>
  <si>
    <t>DOME LAMP - OSHKOSH TRUCK</t>
  </si>
  <si>
    <t>LED-C/M RED S.C. SHAL VALOX</t>
  </si>
  <si>
    <t>LED-C/M AMBER S.C. SHAL VALOX</t>
  </si>
  <si>
    <t>LED-C/M RED S.C. DEEP VALOX</t>
  </si>
  <si>
    <t>LED-C/M AMBER S.C. DEEP VALOX</t>
  </si>
  <si>
    <t>LED-I.D. BAR RED DEEP VALOX</t>
  </si>
  <si>
    <t>LED-SPEC. PUR. RED D.C. DEEP V</t>
  </si>
  <si>
    <t>LED-SPEC. PUR. AMB D.C. DEEP V</t>
  </si>
  <si>
    <t>LED-SPEC. PUR. RED D.C. SHAL V</t>
  </si>
  <si>
    <t>LED-DOME MV SHALLOW NO HOLE</t>
  </si>
  <si>
    <t>LED-DOME MV DEEP W/SWITCH</t>
  </si>
  <si>
    <t>LED-S.P.  D.C. AMBER DEEP MV</t>
  </si>
  <si>
    <t>LED-DOME MV DEEP NO HOLE</t>
  </si>
  <si>
    <t>LED-DOME MV SHALLOW W/SWITCH</t>
  </si>
  <si>
    <t>CLR/MKR RED (60-05122)</t>
  </si>
  <si>
    <t>CLR/MKR AMBER (60-05132)</t>
  </si>
  <si>
    <t>LAMP SPC PURP DC RED(60-20222)</t>
  </si>
  <si>
    <t>LAMP SPC PURP DC AMB(60-20232)</t>
  </si>
  <si>
    <t>LED-CLR/MKR RED (60-05122)</t>
  </si>
  <si>
    <t>LED-CLR/MKR AMBER (60-05132)</t>
  </si>
  <si>
    <t>CLR/MKR RED (65A-05122)</t>
  </si>
  <si>
    <t>CLR/MKR AMBER (65A-05132)</t>
  </si>
  <si>
    <t>CLR/MKR RED (65D-05122)</t>
  </si>
  <si>
    <t>CLR/MKR AMBER (65D-05132)</t>
  </si>
  <si>
    <t>LED-CLR/MKR RED 2 SIDE ENT.</t>
  </si>
  <si>
    <t>LED-CLR/MKR AMB 2 SIDE ENT.</t>
  </si>
  <si>
    <t>LED-CLR/MKR RED  1 REAR ENT.</t>
  </si>
  <si>
    <t>LED-CLR/MKR AMB  1 REAR ENT.</t>
  </si>
  <si>
    <t>LED AMB MKR GROM MT W/PLUG</t>
  </si>
  <si>
    <t>LED-CLR/MKR AMB 1 REAR ENT.BLK</t>
  </si>
  <si>
    <t>CLR/MKR AMBER LED W/EYELETS</t>
  </si>
  <si>
    <t>CLR/MKR RED LED W/EYELETS 24V</t>
  </si>
  <si>
    <t>CLR/MKR AMBER LED W/EYELET 24V</t>
  </si>
  <si>
    <t>LED LENS ASSY RED W/BUTT CONN</t>
  </si>
  <si>
    <t>LED LENS ASSY AMB W/BUTT CONN</t>
  </si>
  <si>
    <t>LED LENS ASSY RED 24V S/T/T</t>
  </si>
  <si>
    <t>LED LENS ASSY AMB DEEP TRN/MRK</t>
  </si>
  <si>
    <t>LED LENS ASMY MV LIC/T/T W/EYE</t>
  </si>
  <si>
    <t>1 LED ASY MV DP S/T/T W/EYE</t>
  </si>
  <si>
    <t>LED LUX S/T/T OVAL  W/920413</t>
  </si>
  <si>
    <t>LED LUX OVAL AMBER</t>
  </si>
  <si>
    <t>TURN AMBER</t>
  </si>
  <si>
    <t>TURN AMBER ARROW W/12' CABLE</t>
  </si>
  <si>
    <t>TURN AMB ARROW ST MNT W/CABLE</t>
  </si>
  <si>
    <t>TURN-AMBER</t>
  </si>
  <si>
    <t>TURN AMBER ARROW W/4  PLUG</t>
  </si>
  <si>
    <t>LED-SDIODE STOP/TURN/TAIL</t>
  </si>
  <si>
    <t>LED-TURN AMBER W/12' CABLE</t>
  </si>
  <si>
    <t>LED-AMBER ARROW STUD MOUNT</t>
  </si>
  <si>
    <t>LED SDIODE AMBER TURN ARROW</t>
  </si>
  <si>
    <t>TURN AMBER ARROW</t>
  </si>
  <si>
    <t>LAMP ACCESSORY DOCUMENT HOLDER</t>
  </si>
  <si>
    <t>DOME LED PS-1 VALOX GRAY</t>
  </si>
  <si>
    <t>DOME LAMP PS-1 VALOX GRAY</t>
  </si>
  <si>
    <t>LED-S/T/T RED</t>
  </si>
  <si>
    <t>LED NARROW FLOOD W/ 3/4 STUD</t>
  </si>
  <si>
    <t>LED FLOOD 3/4 STUD W/SWITCH</t>
  </si>
  <si>
    <t>LED-S/T/T RED (81-02122)</t>
  </si>
  <si>
    <t>LED NARROW FLOOD 9/16 STUD</t>
  </si>
  <si>
    <t>FLOOD (805-07113) PLASTIC</t>
  </si>
  <si>
    <t>FLOOD (805A-07113)</t>
  </si>
  <si>
    <t>FLOOD (805B-07113)</t>
  </si>
  <si>
    <t>FLOOD (805-07713)</t>
  </si>
  <si>
    <t>FLOOD (805A-07713)</t>
  </si>
  <si>
    <t>FLOOD (805B-07713)</t>
  </si>
  <si>
    <t>SPOT (805-07113H) PLASTIC</t>
  </si>
  <si>
    <t>SPOT (805A-07113H)</t>
  </si>
  <si>
    <t>SPOT (805-07713H)</t>
  </si>
  <si>
    <t>SPOT (805A-07713H)</t>
  </si>
  <si>
    <t>LED NARROW FLOOD PLASTIC</t>
  </si>
  <si>
    <t>LED NARROW FLOOD W/SWITCH</t>
  </si>
  <si>
    <t>LED NARROW FLOOD  REAR EN</t>
  </si>
  <si>
    <t>LED NARROW FLOOD WHITE</t>
  </si>
  <si>
    <t>LED WIDE FLOOD</t>
  </si>
  <si>
    <t>HARNESS-MODULE END 2/2 2/4 RS</t>
  </si>
  <si>
    <t>HARNESS-MODULE END 2/2 2/4 CS</t>
  </si>
  <si>
    <t>HARNESS 3LAMP W/SM G/Y TURN 8'</t>
  </si>
  <si>
    <t>HARNESS 2 WAY  2 DROPS 6</t>
  </si>
  <si>
    <t>HARNESS-2 WAY  3 DROPS</t>
  </si>
  <si>
    <t>SPLITTER-180 MALE TO FEM</t>
  </si>
  <si>
    <t>HARNESS MAIN W/DROPS AND PLUGS</t>
  </si>
  <si>
    <t>HARNESS REAR LED W/ABS</t>
  </si>
  <si>
    <t>Standard Rear Harness Jtech</t>
  </si>
  <si>
    <t>20 Standard Harness Jtech</t>
  </si>
  <si>
    <t>16 Econo Harness Jtech</t>
  </si>
  <si>
    <t>Jtech Switch Harness assembly</t>
  </si>
  <si>
    <t>SPLITTER-180 MALE TO FEM BLTS</t>
  </si>
  <si>
    <t>SOCKET-D.C. (108LS)</t>
  </si>
  <si>
    <t>SOCKET-S.C. (108S)</t>
  </si>
  <si>
    <t>LUBRICANT-VIAL (15-236-2X3)</t>
  </si>
  <si>
    <t>GASKET-7 WAY SCKT (17705CF)</t>
  </si>
  <si>
    <t>SWITCH-Push ON/OFF 6 amp</t>
  </si>
  <si>
    <t>SWITCH-BOOT PSH. (17879-SR)</t>
  </si>
  <si>
    <t>BRACKET-ARMOR GUARD</t>
  </si>
  <si>
    <t>SWITCH-MOMENTARY ON  6 Amp</t>
  </si>
  <si>
    <t>PLUG SCRUBBER-(18374)</t>
  </si>
  <si>
    <t>SWITCH-TOGGLE 20 AMP 2POSITION</t>
  </si>
  <si>
    <t>SWITCH-TOGGLE W/BOOT (18830)</t>
  </si>
  <si>
    <t>CHOKE SEAL-1/8 NPT (1RP)</t>
  </si>
  <si>
    <t>CHOKE SEAL-3/8 NPT (1RPL)</t>
  </si>
  <si>
    <t>CHOKE SEAL-1/4 NPT (1RPS)</t>
  </si>
  <si>
    <t>CHOKE SEAL-3/8 NPT (1RPS-1)</t>
  </si>
  <si>
    <t>FITTING-PLUG 1 HOLE (1TP)</t>
  </si>
  <si>
    <t>LENS  CLEAR (201-112)</t>
  </si>
  <si>
    <t>LENS-RED (201-122)</t>
  </si>
  <si>
    <t>LENS-AMBER (201-132)</t>
  </si>
  <si>
    <t>O-RING 200 SERIES (202)</t>
  </si>
  <si>
    <t>LENS RED (21-222)</t>
  </si>
  <si>
    <t>LENS  AMBER (21-232)</t>
  </si>
  <si>
    <t>O-RING 20 SERIES (22)</t>
  </si>
  <si>
    <t>LENS-RED SHALLOW (221-122)</t>
  </si>
  <si>
    <t>LENS-AMBER SHALLOW (221-132)</t>
  </si>
  <si>
    <t>O-RING 200V SERIES (222)</t>
  </si>
  <si>
    <t>BRACKET-LICENSE (26717-MS)</t>
  </si>
  <si>
    <t>COVER-SWITCH (26742-AL)</t>
  </si>
  <si>
    <t>BRACKET-ANGLE (65MB)</t>
  </si>
  <si>
    <t>GROMMET-PAR 36 W/920143 LENS</t>
  </si>
  <si>
    <t>GASKET-20 (29)</t>
  </si>
  <si>
    <t>SWITCH-BOOT 30TS (30R)</t>
  </si>
  <si>
    <t>SWITCH-BOOT PART #50154</t>
  </si>
  <si>
    <t>SWITCH-TOGGLE (30TS)</t>
  </si>
  <si>
    <t>SWITCH-TOGGLE W/BOOT (30TSR)</t>
  </si>
  <si>
    <t>REFLECTOR-AMB 2-3/16</t>
  </si>
  <si>
    <t>REFLECTOR-RED 2-3/16</t>
  </si>
  <si>
    <t>REFLECTOR-AMB 3-1/4</t>
  </si>
  <si>
    <t>REFLECTOR-RED 3-1/4</t>
  </si>
  <si>
    <t>REFLECTOR-RED OVAL</t>
  </si>
  <si>
    <t>REFLECTOR-AMB OVAL</t>
  </si>
  <si>
    <t>CHOKE SEAL (3RP)</t>
  </si>
  <si>
    <t>SOCKET-D.C. (48LS)</t>
  </si>
  <si>
    <t>SOCKET-S.C. (48LT)</t>
  </si>
  <si>
    <t>CHOKE SEAL (4RP)</t>
  </si>
  <si>
    <t>LENS-RED  SHALLOW (51-122)</t>
  </si>
  <si>
    <t>LENS-AMBER  SHALLOW (51-132)</t>
  </si>
  <si>
    <t>LENS-CLEAR  DEEP (51D-212)</t>
  </si>
  <si>
    <t>LENS CLEAR  DEEP  B-U (51BU)</t>
  </si>
  <si>
    <t>LENS RED DEEP (51L-222)</t>
  </si>
  <si>
    <t>LENS-CLEAR  SHALLOW (51PSC)</t>
  </si>
  <si>
    <t>LENS-RED  DEEP (51ST-222)</t>
  </si>
  <si>
    <t>LENS-AMBER  DEEP (51ST-232)</t>
  </si>
  <si>
    <t>O-RING (52)</t>
  </si>
  <si>
    <t>PIGTAIL S.C. BUTTON&amp;WIRE (55)</t>
  </si>
  <si>
    <t>BUTTON-S.C. (55A)</t>
  </si>
  <si>
    <t>BUTTON-S.C. 12GA (55A-12)</t>
  </si>
  <si>
    <t>WIRE-GROUND (55GW)</t>
  </si>
  <si>
    <t>GROMMET-SOCKET S.C. (56)</t>
  </si>
  <si>
    <t>PIGTAIL-SC W/GRMT PACK OF 12</t>
  </si>
  <si>
    <t>SOCKET-S.C. (58)</t>
  </si>
  <si>
    <t>SOCKET-D.C. (58L)</t>
  </si>
  <si>
    <t>GASKET-50/57 (59)</t>
  </si>
  <si>
    <t>LENS-RED  SHALLOW (71-122)</t>
  </si>
  <si>
    <t>LENS-AMBER  SHALLOW (71-132)</t>
  </si>
  <si>
    <t>LENS-SHALLOW  B-U (71BU-112)</t>
  </si>
  <si>
    <t>LENS-DEEP  DOME (71D-212)</t>
  </si>
  <si>
    <t>LENS-RED  DEEP  LIC (71L-222)</t>
  </si>
  <si>
    <t>LENS-SMOKED  SHALLOW (71PS)</t>
  </si>
  <si>
    <t>LENS-CLEAR  SHALLOW (71F-C)</t>
  </si>
  <si>
    <t>LENS-RED  DEEP (71ST-222)</t>
  </si>
  <si>
    <t>LENS-AMBER  DEEP (71ST-232)</t>
  </si>
  <si>
    <t>O-RING (72)</t>
  </si>
  <si>
    <t>PIGTAIL-D.C. 12 RED &amp; 12 BRN</t>
  </si>
  <si>
    <t>BUTTON-D.C. (75A)</t>
  </si>
  <si>
    <t>GROMMET-SOCKET D.C. (76)</t>
  </si>
  <si>
    <t>PIGTAIL-DC W/GRMT PACK OF 12</t>
  </si>
  <si>
    <t>LENS AMBER ARROW 7  771T-132</t>
  </si>
  <si>
    <t>O-RING BUNA N #260 SILICON</t>
  </si>
  <si>
    <t>GASKET-B 77 GRAY CELL FIBER</t>
  </si>
  <si>
    <t>BRACKET-ANGLE (77MBA)</t>
  </si>
  <si>
    <t>GASKET-40 47V 70 (79)</t>
  </si>
  <si>
    <t>GRAB RING-3 COND-6GR (.36 ID)</t>
  </si>
  <si>
    <t>GRAB RING-2 COND-4GR (.23 ID)</t>
  </si>
  <si>
    <t>CABLE-2 COND 50FT BRN/WHT</t>
  </si>
  <si>
    <t>CABLE-2 COND 100FT BRN/WHT</t>
  </si>
  <si>
    <t>CABLE-2 COND 300FT BRN/WHT</t>
  </si>
  <si>
    <t>CABLE-3 COND 100FT</t>
  </si>
  <si>
    <t>CABLE-3 COND 300FT</t>
  </si>
  <si>
    <t>CABLE 4 COND.100FT</t>
  </si>
  <si>
    <t>CABLE-5 COND 100FT</t>
  </si>
  <si>
    <t>CABLE-6 COND 100FT</t>
  </si>
  <si>
    <t>CABLE-7 COND 100FT</t>
  </si>
  <si>
    <t>CIRCUIT BRIDGE (CB1)</t>
  </si>
  <si>
    <t>FITTING CABLE ALUM (CE-2)</t>
  </si>
  <si>
    <t>FITTING-CABLE ALUM(CE-690-1/2)</t>
  </si>
  <si>
    <t>FITTING-CABLE ALUM(CE-690-3/4)</t>
  </si>
  <si>
    <t>FITTING-CABLE ALUM (CEA3-5)</t>
  </si>
  <si>
    <t>FITTING-CABLE ALUM (CEA6-7)</t>
  </si>
  <si>
    <t>FITTING-CABLE PLSTC (CEP1-2)</t>
  </si>
  <si>
    <t>FITTING-CABLE PLSTC (CEP3-5)</t>
  </si>
  <si>
    <t>FITTING-CABLE PLSTC (CEP6-7)</t>
  </si>
  <si>
    <t>GROMMET-WIRE GUARD (G-2760)</t>
  </si>
  <si>
    <t>GROMMET-WIRE GUARD (G-2856)</t>
  </si>
  <si>
    <t>GROMMET-SEAL (GR5)</t>
  </si>
  <si>
    <t>LENS-RED (L6-122)</t>
  </si>
  <si>
    <t>LENS-AMBER (L6-132)</t>
  </si>
  <si>
    <t>GROMMET-PAR 36 (MG4)</t>
  </si>
  <si>
    <t>CERTIFICATE HOLDER (MPH-1)</t>
  </si>
  <si>
    <t>FTG-TEE UNION (N8TUB-8)</t>
  </si>
  <si>
    <t>O-RING #139 BUNA N SILICON</t>
  </si>
  <si>
    <t>DISC 7 POLE W/HARDWARE PKG</t>
  </si>
  <si>
    <t>DISC 4 POLE W/HARDWARE PKG</t>
  </si>
  <si>
    <t>PLUG CHECKER (TC2)</t>
  </si>
  <si>
    <t>FTG-ELBOW 3/8X1/8 (TLS-31)</t>
  </si>
  <si>
    <t>FTG-ELBOW 3/8X1/4 (TLS-32)</t>
  </si>
  <si>
    <t>FTG-ELBOW 3/8X3/8 (TLS-33)</t>
  </si>
  <si>
    <t>FTG-ELBOW W/SEAL (TLS-42P)</t>
  </si>
  <si>
    <t>FTG-ELBOW 1/2X3/8 (TLS-43)</t>
  </si>
  <si>
    <t>FTG-STRAIGHT W/SEAL (TN-22P)</t>
  </si>
  <si>
    <t>FTG-STRAIGHT 3/8 X 1/8 (TN-31)</t>
  </si>
  <si>
    <t>FTG-STRAIGHT 3/8 X 1/4 (TN-32)</t>
  </si>
  <si>
    <t>FTG-STRAIGHT 1/2 X 3/8 (TN-43)</t>
  </si>
  <si>
    <t>FTG-STRAIGHT 1/2 X 1/2 (TN-44)</t>
  </si>
  <si>
    <t>FTG-STRAIGHT 1/2 X 3/4 (TN-46)</t>
  </si>
  <si>
    <t>FRAME-2 LMP 40 ALUM</t>
  </si>
  <si>
    <t>FRAME-3 LMP 40 ALUM</t>
  </si>
  <si>
    <t>FRAME-3 LMP 40 ALUM W/SM</t>
  </si>
  <si>
    <t>FRAME-3 LMP 40 STL W/SM</t>
  </si>
  <si>
    <t>FRAME-2 LAMP STAIN W/SM LEFT</t>
  </si>
  <si>
    <t>FRAME-B45 LAMPS-ALUM-LEFT</t>
  </si>
  <si>
    <t>FRAME-B45 LAMPS-ALUM-RIGHT</t>
  </si>
  <si>
    <t>SOCKET-S.C. (48S)</t>
  </si>
  <si>
    <t>CABLE 2 COND 1000FT WHT-BRN</t>
  </si>
  <si>
    <t>CABLE-3 COND 1000FT R-BRN-WHT</t>
  </si>
  <si>
    <t>CABLE-4 COND 2500FT (B4P-2500)</t>
  </si>
  <si>
    <t>CABLE-5 COND 1000FT (B5P-1000)</t>
  </si>
  <si>
    <t>CABLE-7 COND 1000FT (B7P-1000)</t>
  </si>
  <si>
    <t>BRACKET-MTG (56MB)</t>
  </si>
  <si>
    <t>BRACKET-MNTG. B56 STAINLESS</t>
  </si>
  <si>
    <t>GROMMET-WIRE GUARD (G-2767)</t>
  </si>
  <si>
    <t>FITTING -CABLE  (CEP6-7-1/2)</t>
  </si>
  <si>
    <t>CABLE-2 COND 4500FT (B2P-4500)</t>
  </si>
  <si>
    <t>CABLE-3 COND 2500FT (B3P-2500)</t>
  </si>
  <si>
    <t>PLUG-PLASTIC 3/8NPT (9V9308)</t>
  </si>
  <si>
    <t>PLUG-PLASTIC 1/2 NPT TP-7F</t>
  </si>
  <si>
    <t>CHOKE SEAL 2 3 &amp; 4 COND CABLE</t>
  </si>
  <si>
    <t>HARDWARE PACKAGE 4X8 JUNCTION</t>
  </si>
  <si>
    <t>SCREW-MTG 7-19 X 7/16 HEX-SLOT</t>
  </si>
  <si>
    <t>CHOKE SEAL-F/SNGL COND WIRES</t>
  </si>
  <si>
    <t>PLUG - 7 POLE W/GUARD (9Z9222)</t>
  </si>
  <si>
    <t>PLUG 2 COND 24  MALE PLUG</t>
  </si>
  <si>
    <t>PLUG 2 COND 24  FEMALE</t>
  </si>
  <si>
    <t>PLUG PLASTIC 3/4 NPT (9V9310)</t>
  </si>
  <si>
    <t>HEATSHRINK 3/4 ID x 4" LONG</t>
  </si>
  <si>
    <t>BOLT-4X8 JUNC. BOX PKG. OF 4</t>
  </si>
  <si>
    <t>COVER ASSEMBLY 4X8 JUNCTION</t>
  </si>
  <si>
    <t>LENS-BLUE  DEEP (51ST-252)</t>
  </si>
  <si>
    <t>LENS-OVAL LAMP RED</t>
  </si>
  <si>
    <t>SHOCK MOUNT ASSEMBLY D.C.</t>
  </si>
  <si>
    <t>SHOCK MOUNT ASSEMBLY S.C.</t>
  </si>
  <si>
    <t>LENS-OVAL LAMP AMBER</t>
  </si>
  <si>
    <t>PLUG 2 COND 8 FT MALE</t>
  </si>
  <si>
    <t>PLUG 2 COND 8 FT FEMALE</t>
  </si>
  <si>
    <t>CABLE 4 COND 1000FT R-W-BR-Y/G</t>
  </si>
  <si>
    <t>PLUG 2 COND 15 FT FEMALE</t>
  </si>
  <si>
    <t>PLUG 2 COND 15 FT MALE</t>
  </si>
  <si>
    <t>DIODE (9W3042)  W/EYELETS ASSY</t>
  </si>
  <si>
    <t>PLUG 2-COND MALE SEALER PLUG</t>
  </si>
  <si>
    <t>REMOTE TESTER TRANSMITTER UNIT</t>
  </si>
  <si>
    <t>REMOTE TESTER AC ADAPTER</t>
  </si>
  <si>
    <t>BRACKET-OVAL LAMP  L</t>
  </si>
  <si>
    <t>LENS CLIP 47 SERIES DEEP</t>
  </si>
  <si>
    <t>BRACKET-OVAL LAMP  L  SS</t>
  </si>
  <si>
    <t>LABEL  ABS  50/ROLL BLACK INK</t>
  </si>
  <si>
    <t>CABLE-2 COND. BLU/WHT 100 FT.</t>
  </si>
  <si>
    <t>PLUG-4 COND. MALE SEALER</t>
  </si>
  <si>
    <t>CABLE-7 WAY ABS GREEN 100 FT.</t>
  </si>
  <si>
    <t>CABLE-2 COND BLU/WHT 4500 FT.</t>
  </si>
  <si>
    <t>FRAME-ROADSIDE ASSEMBLY</t>
  </si>
  <si>
    <t>FRAME-CURBSIDE ASSEMBLY</t>
  </si>
  <si>
    <t>FRAME-ROADSIDE B40 ALUMINUM</t>
  </si>
  <si>
    <t>O-RING BUNA N #258 SILICON</t>
  </si>
  <si>
    <t>ALARM-BACK UP 12V BODY GRD'D.</t>
  </si>
  <si>
    <t>CABLE-2 COND. 300 FT. BLU/WHT</t>
  </si>
  <si>
    <t>BRACKET-MTG. B56 ALUMINUM</t>
  </si>
  <si>
    <t>FLASHER-LED QUAD FLASH PLAIN</t>
  </si>
  <si>
    <t>FLASHER-LED QUAD FLASH POTTED</t>
  </si>
  <si>
    <t>RETAINER B40 LENS STAINLESS</t>
  </si>
  <si>
    <t>RETAINER B56 LENS STAINLESS</t>
  </si>
  <si>
    <t>FLASHER-ALT QUAD FLASH PLAIN</t>
  </si>
  <si>
    <t>40 SERIES BODY/ORING VALOX</t>
  </si>
  <si>
    <t>45 SERIES BODY/ORING VALOX</t>
  </si>
  <si>
    <t>56 SERIES BODY/ORING VALOX</t>
  </si>
  <si>
    <t>60 SERIES BODY/ORING ALUM</t>
  </si>
  <si>
    <t>65 BODY/ORING 2 SIDE CS LED</t>
  </si>
  <si>
    <t>40 BODY/ORING VALOX (B70) CS</t>
  </si>
  <si>
    <t>77 SERIES BODY/ORING VALOX</t>
  </si>
  <si>
    <t>LENS SHALLOW CLEAR 51 SERIES</t>
  </si>
  <si>
    <t>LED AMBER 1 DIODE B-73</t>
  </si>
  <si>
    <t>LED RED SNG DIODE ASSY B-77</t>
  </si>
  <si>
    <t>LED CLEAR 1 DIODE B-77 AMBER</t>
  </si>
  <si>
    <t>LED WHITE SNG DIODE ASSY 73 5W</t>
  </si>
  <si>
    <t>7-WAY ADAPTER BOX NO/CIR BREAK</t>
  </si>
  <si>
    <t>FLASHTUBE ASMY QUAD STROBE</t>
  </si>
  <si>
    <t>45 SERIES BODY/O-RING (1) CS</t>
  </si>
  <si>
    <t>45 SERIES BODY/O-RING (2) CS</t>
  </si>
  <si>
    <t>45 SERIES BODY/O-RING (3) CS</t>
  </si>
  <si>
    <t>211V LED BODY/ORING REAR</t>
  </si>
  <si>
    <t>200V LED BODY/ORING SIDE</t>
  </si>
  <si>
    <t>ANGLED MOUNTING RING</t>
  </si>
  <si>
    <t>FLASHER-ALT QUAD FLASH ENCAP</t>
  </si>
  <si>
    <t>PLUG 2 COND 25 FT FEMALE</t>
  </si>
  <si>
    <t>212V LED BODY/ORING REAR</t>
  </si>
  <si>
    <t>40 SERIES BODY/ORING (1) CS</t>
  </si>
  <si>
    <t>40 SERIES BODY/O-RING (2) CS</t>
  </si>
  <si>
    <t>40 SERIES BODY/O-RING (3) CS</t>
  </si>
  <si>
    <t>50 SERIES SC BODY/ORING  VALOX</t>
  </si>
  <si>
    <t>50 SERIES DC BODY/ORING VALOX</t>
  </si>
  <si>
    <t>50 SERIES BODY/ORING VALOX LED</t>
  </si>
  <si>
    <t>56 SERIES BODY/O-RING (1) CS</t>
  </si>
  <si>
    <t>57 SERIES BODY/ORING VALOX</t>
  </si>
  <si>
    <t>BULB LED PAR 36 TRAP 12V-24V</t>
  </si>
  <si>
    <t>BULB LED PAR 36 FLOOD 12V-24V</t>
  </si>
  <si>
    <t>BULB LED PAR 36 SPOT 12V-24V</t>
  </si>
  <si>
    <t>Plug-Male 6 Cond.Sealer Plug</t>
  </si>
  <si>
    <t>Bulb LED #67 Red 12V</t>
  </si>
  <si>
    <t>Bulb LED #67 Amber 12V</t>
  </si>
  <si>
    <t>Bulb LED #67 White 12V</t>
  </si>
  <si>
    <t>830 BODY/ORING ASSEMBLY 3/4</t>
  </si>
  <si>
    <t>831 BODY/ORING ASSEMBLY 9/16</t>
  </si>
  <si>
    <t>B835 PLASTIC BODY &amp; ADAPTOR</t>
  </si>
  <si>
    <t>45 BODY/ORING GROUND STRAP</t>
  </si>
  <si>
    <t>65 BODY/ORING 1 REAR CS LED</t>
  </si>
  <si>
    <t>18992VL</t>
  </si>
  <si>
    <t>LENS RING-PLASTIC</t>
  </si>
  <si>
    <t>19138AL</t>
  </si>
  <si>
    <t>BEACON-HEAT SINK</t>
  </si>
  <si>
    <t>200224A144</t>
  </si>
  <si>
    <t>CABINET CLEAR LED 12' CABLE</t>
  </si>
  <si>
    <t>200224D012</t>
  </si>
  <si>
    <t>CABINET CLEAR LED 12" PLUG</t>
  </si>
  <si>
    <t>20A-002-009</t>
  </si>
  <si>
    <t>SPEC PURPOSE AMB LED W/920430</t>
  </si>
  <si>
    <t>20A-010-012</t>
  </si>
  <si>
    <t>SPEC PURPOSE AMB LED W/WIRES</t>
  </si>
  <si>
    <t>20R-002-009</t>
  </si>
  <si>
    <t>SPEC PURPOSE RED LED W/920430</t>
  </si>
  <si>
    <t>20R-010-012</t>
  </si>
  <si>
    <t>SPEC PURPOSE RED LED W/WIRES</t>
  </si>
  <si>
    <t>211205A024</t>
  </si>
  <si>
    <t>MARKER RED LED 24" CABLE</t>
  </si>
  <si>
    <t>211205A036</t>
  </si>
  <si>
    <t>MARKER RED LED 36" CABLE</t>
  </si>
  <si>
    <t>211206A120</t>
  </si>
  <si>
    <t>MARKER AMBER LED 10' CABLE</t>
  </si>
  <si>
    <t>212003A108</t>
  </si>
  <si>
    <t>MARKER RED BULB 9' CABLE</t>
  </si>
  <si>
    <t>212004A108</t>
  </si>
  <si>
    <t>MARKER AMBER BULB 9' CABLE</t>
  </si>
  <si>
    <t>24-001-048</t>
  </si>
  <si>
    <t>LICENSE 24 LED W/48  CABLE</t>
  </si>
  <si>
    <t>24-001-072</t>
  </si>
  <si>
    <t>LICENSE 24 LED w/72  CABLE</t>
  </si>
  <si>
    <t>24-001-096</t>
  </si>
  <si>
    <t>LICENSE 24 LED w/96  CABLE</t>
  </si>
  <si>
    <t>24-001-120</t>
  </si>
  <si>
    <t>LICENSE 24 LED w/10' CABLE</t>
  </si>
  <si>
    <t>24-001-144</t>
  </si>
  <si>
    <t>LICENSE 24 LED w/12' CABLE</t>
  </si>
  <si>
    <t>24-001-180</t>
  </si>
  <si>
    <t>LICENSE 24 LED W/15' CABLE</t>
  </si>
  <si>
    <t>24-002-006</t>
  </si>
  <si>
    <t>LICENSE 24 LED W/6  920432</t>
  </si>
  <si>
    <t>24-003-014</t>
  </si>
  <si>
    <t>LICENSE 24 LED W/14  920430</t>
  </si>
  <si>
    <t>24-003-017</t>
  </si>
  <si>
    <t>LICENSE 24 LED W/17  920430</t>
  </si>
  <si>
    <t>24-003-036</t>
  </si>
  <si>
    <t>LICENSE 14 GA MALE PLUG</t>
  </si>
  <si>
    <t>24-010-012</t>
  </si>
  <si>
    <t>LICENSE 24 LED W/12  WIRES</t>
  </si>
  <si>
    <t>24-010-012-001</t>
  </si>
  <si>
    <t>LICENSE 24 LED w/BRACKET</t>
  </si>
  <si>
    <t>24-011-048</t>
  </si>
  <si>
    <t>LICENSE 24 LED W/48  WIRES</t>
  </si>
  <si>
    <t>24-013-010</t>
  </si>
  <si>
    <t>LICENSE 24 LED W/10  910135</t>
  </si>
  <si>
    <t>28031AL</t>
  </si>
  <si>
    <t>B56 I.D. LAMP BRACKET</t>
  </si>
  <si>
    <t>28131AL</t>
  </si>
  <si>
    <t>28132AL</t>
  </si>
  <si>
    <t>28901EP</t>
  </si>
  <si>
    <t>4.50 GROMMET - SINGLE LED</t>
  </si>
  <si>
    <t>28902EP</t>
  </si>
  <si>
    <t>2.50 GROMMET - LAMP</t>
  </si>
  <si>
    <t>28998SL</t>
  </si>
  <si>
    <t>BRACKET ANGLE FRONT 45</t>
  </si>
  <si>
    <t>29085EP001</t>
  </si>
  <si>
    <t>6.0 OVAL GROMMET - WITH BACK</t>
  </si>
  <si>
    <t>29218SL</t>
  </si>
  <si>
    <t>BRACKET- ABS - BUTTON LAMP</t>
  </si>
  <si>
    <t>29225EP</t>
  </si>
  <si>
    <t>2.50 GROMMET - 3.00 HOLE</t>
  </si>
  <si>
    <t>35480SL</t>
  </si>
  <si>
    <t>SIDE MARKER BRACKET</t>
  </si>
  <si>
    <t>35679LH</t>
  </si>
  <si>
    <t>FRAME-3 LAMP MODULE</t>
  </si>
  <si>
    <t>35679RH</t>
  </si>
  <si>
    <t>3G01-012-01</t>
  </si>
  <si>
    <t>WORK TRAP CLEAR LED</t>
  </si>
  <si>
    <t>3G01-012-01S</t>
  </si>
  <si>
    <t>WORK TRAP CLEAR LED SW</t>
  </si>
  <si>
    <t>3G01-012-01SE</t>
  </si>
  <si>
    <t>WORK TRAP CLEAR LED SW EXT</t>
  </si>
  <si>
    <t>3G01-012-02</t>
  </si>
  <si>
    <t>WORK FLOOD CLEAR LED</t>
  </si>
  <si>
    <t>3G01-012-02S</t>
  </si>
  <si>
    <t>WORK FLOOD CLEAR LED SW</t>
  </si>
  <si>
    <t>3G01-012-04</t>
  </si>
  <si>
    <t>WORK FLOOD CLEAR INC</t>
  </si>
  <si>
    <t>3G01-012-04E</t>
  </si>
  <si>
    <t>WORK FLOOD CLEAR INC EXT</t>
  </si>
  <si>
    <t>3G01-012-04S</t>
  </si>
  <si>
    <t>WORK FLOOD CLEAR INC SW</t>
  </si>
  <si>
    <t>3G01-012-04SE</t>
  </si>
  <si>
    <t>WORK FLOOD CLEAR INC SW EXT</t>
  </si>
  <si>
    <t>3G01-012-05</t>
  </si>
  <si>
    <t>WORK HSPOT CLEAR INC</t>
  </si>
  <si>
    <t>3G01-012-05S</t>
  </si>
  <si>
    <t>WORK HSPOT CLEAR INC SW</t>
  </si>
  <si>
    <t>3G01-012-05SE</t>
  </si>
  <si>
    <t>WORK HSPOT CLEAR INC SW EXT</t>
  </si>
  <si>
    <t>3G01-012-08S</t>
  </si>
  <si>
    <t>WORK SPOT CLEAR INC SW 24V</t>
  </si>
  <si>
    <t>3G02-012-01</t>
  </si>
  <si>
    <t>3G02-012-01S</t>
  </si>
  <si>
    <t>3G02-012-02</t>
  </si>
  <si>
    <t>3G02-012-02S</t>
  </si>
  <si>
    <t>3G02-012-03</t>
  </si>
  <si>
    <t>WORK SPOT CLEAR LED</t>
  </si>
  <si>
    <t>3G02-012-03S</t>
  </si>
  <si>
    <t>WORK SPOT CLEAR LED SW</t>
  </si>
  <si>
    <t>3G02-012-04</t>
  </si>
  <si>
    <t>3G02-012-04E</t>
  </si>
  <si>
    <t>3G02-012-04S</t>
  </si>
  <si>
    <t>3G02-012-04SE</t>
  </si>
  <si>
    <t>3G02-012-05</t>
  </si>
  <si>
    <t>3G02-012-05S</t>
  </si>
  <si>
    <t>3G02-012-05SE</t>
  </si>
  <si>
    <t>3G03-096-05SE</t>
  </si>
  <si>
    <t>WORK HSPOT CLEAR SW EXT</t>
  </si>
  <si>
    <t>3G03-120-04S</t>
  </si>
  <si>
    <t>3G03-240-04</t>
  </si>
  <si>
    <t>3G03-300-01S</t>
  </si>
  <si>
    <t>3G03-480-01S</t>
  </si>
  <si>
    <t>3G04-240-01S</t>
  </si>
  <si>
    <t>3G04-240-04S</t>
  </si>
  <si>
    <t>3G04-360-01</t>
  </si>
  <si>
    <t>3G04-360-01S</t>
  </si>
  <si>
    <t>3G04-360-04SE</t>
  </si>
  <si>
    <t>3G04-720-01S03</t>
  </si>
  <si>
    <t>3G05-042-01S</t>
  </si>
  <si>
    <t>WORK TRAP CLEAR LED SWITCH</t>
  </si>
  <si>
    <t>3G05-168-01S</t>
  </si>
  <si>
    <t>3W01-012-01S</t>
  </si>
  <si>
    <t>WORK TRAP CLEAR LED WHITE BODY</t>
  </si>
  <si>
    <t>3W02-012-01S</t>
  </si>
  <si>
    <t>3W02-012-01SE</t>
  </si>
  <si>
    <t>3W02-012-03</t>
  </si>
  <si>
    <t>3W02-012-04S</t>
  </si>
  <si>
    <t>3W02-012-04SE</t>
  </si>
  <si>
    <t>3W05-006-03</t>
  </si>
  <si>
    <t>55A</t>
  </si>
  <si>
    <t>BUTTON SINGLE CONTACT FOR 14GA</t>
  </si>
  <si>
    <t>650207D006</t>
  </si>
  <si>
    <t>MARKER RED LED MALE PLUG</t>
  </si>
  <si>
    <t>650208A180</t>
  </si>
  <si>
    <t>MARKER AMBER LED w/CABLE</t>
  </si>
  <si>
    <t>650208A360</t>
  </si>
  <si>
    <t>650208D006</t>
  </si>
  <si>
    <t>MARKER AMBER LED MALE PLUG</t>
  </si>
  <si>
    <t>71FST-C</t>
  </si>
  <si>
    <t>LENS 71 LED CLEAR S/T/T OPTICS</t>
  </si>
  <si>
    <t>75078AL</t>
  </si>
  <si>
    <t>MOUNT-SDIODE 7  SERIES</t>
  </si>
  <si>
    <t>75079AL</t>
  </si>
  <si>
    <t>MOUNT-SDIODE 7  OVAL SERIES</t>
  </si>
  <si>
    <t>75116AL</t>
  </si>
  <si>
    <t>MOUNT-SDIODE LICENSE SERIES</t>
  </si>
  <si>
    <t>75121AL</t>
  </si>
  <si>
    <t>BASE SDIODE LICENSE LAMP</t>
  </si>
  <si>
    <t>75846EP</t>
  </si>
  <si>
    <t>BUTTON GROMMET - .75 HOLE</t>
  </si>
  <si>
    <t>910186-120</t>
  </si>
  <si>
    <t>PLUG 2 CONDUCTOR 10'</t>
  </si>
  <si>
    <t>910202-100</t>
  </si>
  <si>
    <t>HARNESS JTECH STEEL BASKET 100</t>
  </si>
  <si>
    <t>920435-120</t>
  </si>
  <si>
    <t>PLUG 3 COND SUPERSEAL-120" 90°</t>
  </si>
  <si>
    <t>920437-012</t>
  </si>
  <si>
    <t>JUMPER 3 WAY SUPERSEAL</t>
  </si>
  <si>
    <t>920439-024</t>
  </si>
  <si>
    <t>PLUG JUMPER 2 COND 14GA (BR/W)</t>
  </si>
  <si>
    <t>920439-096</t>
  </si>
  <si>
    <t>920533-018</t>
  </si>
  <si>
    <t>PLUG 4 WAY MALE R/W/B/Y-G</t>
  </si>
  <si>
    <t>920534-018</t>
  </si>
  <si>
    <t>PLUG 4 WAY FEMALE R/W/B/Y-G</t>
  </si>
  <si>
    <t>920534-120</t>
  </si>
  <si>
    <t>9Q9667</t>
  </si>
  <si>
    <t>SCREW #8-7/8 PHIL PAN HD 410SS</t>
  </si>
  <si>
    <t>9V9312</t>
  </si>
  <si>
    <t>NIPPLE 1/4 X 1-1/4 GRAY PVC</t>
  </si>
  <si>
    <t>9W9307</t>
  </si>
  <si>
    <t>INSERT ASSY #591022-9 / 59S-7</t>
  </si>
  <si>
    <t>9Z9019</t>
  </si>
  <si>
    <t>A4L-02-1000</t>
  </si>
  <si>
    <t>SPECIAL MODULE 412017 W/LED BU</t>
  </si>
  <si>
    <t>A4LM-01-0976</t>
  </si>
  <si>
    <t>2-LAMP MODULE (S/T/T &amp;  BU)</t>
  </si>
  <si>
    <t>A4LM-02-0042</t>
  </si>
  <si>
    <t>2-LAMP ALUMINUM MODULE LED</t>
  </si>
  <si>
    <t>A4LM-02-0936</t>
  </si>
  <si>
    <t>A4LM-03-0270</t>
  </si>
  <si>
    <t>3-LAMP ALUMINUM MODULE LED LH</t>
  </si>
  <si>
    <t>A4LM-03-0387</t>
  </si>
  <si>
    <t>3-LAMP ALUM LED MODULE LH</t>
  </si>
  <si>
    <t>A4LM-05-0350</t>
  </si>
  <si>
    <t>2-LAMP ALUMINUM MODULE LH</t>
  </si>
  <si>
    <t>A4LM-09-0270</t>
  </si>
  <si>
    <t>A4LM-09-0387</t>
  </si>
  <si>
    <t>A4R-02-1000</t>
  </si>
  <si>
    <t>SPECIAL MODULE 412019 W/LED BU</t>
  </si>
  <si>
    <t>A4RM-01-0976</t>
  </si>
  <si>
    <t>2-LAMP MODULE (S/T/T &amp; BU)</t>
  </si>
  <si>
    <t>A4RM-02-0042</t>
  </si>
  <si>
    <t>A4RM-02-0936</t>
  </si>
  <si>
    <t>A4RM-03-0270</t>
  </si>
  <si>
    <t>3-LAMP ALUMINUM MODULE LED RH</t>
  </si>
  <si>
    <t>A4RM-03-0387</t>
  </si>
  <si>
    <t>3-LAMP ALUM LED MODULE RH</t>
  </si>
  <si>
    <t>A4RM-05-0350</t>
  </si>
  <si>
    <t>2-LAMP ALUMINUM MODULE RH</t>
  </si>
  <si>
    <t>A4RM-09-0270</t>
  </si>
  <si>
    <t>A4RM-09-0387</t>
  </si>
  <si>
    <t>A5LM-01-0371</t>
  </si>
  <si>
    <t>3-LAMP ALUMINUM MODULE LH</t>
  </si>
  <si>
    <t>A5RM-01-0371</t>
  </si>
  <si>
    <t>3-LAMP ALUMINUM MODULE RH</t>
  </si>
  <si>
    <t>AA4DHM3E</t>
  </si>
  <si>
    <t>4 T/MKR-AMB-DP-44 LED-EYELETS</t>
  </si>
  <si>
    <t>AA4FHA2E</t>
  </si>
  <si>
    <t>4  SEQ ARROW W/EYELETS</t>
  </si>
  <si>
    <t>AA4FHM3E</t>
  </si>
  <si>
    <t>4 T/MKR-AMB-44 LED-EYELETS</t>
  </si>
  <si>
    <t>BW4FGM3S</t>
  </si>
  <si>
    <t>4 -44 LED-BACKUP-WHITE-SOCKET</t>
  </si>
  <si>
    <t>BW4FGS3S</t>
  </si>
  <si>
    <t>4  BACKUP CLEAR W/SOCKET</t>
  </si>
  <si>
    <t>BW4FHM2E</t>
  </si>
  <si>
    <t>4  BACKUP-WHT-44 LED-EYELETS</t>
  </si>
  <si>
    <t>BW4FHS2E</t>
  </si>
  <si>
    <t>4  BACKUP CLEAR W/EYELETS</t>
  </si>
  <si>
    <t>CW4DHM2E</t>
  </si>
  <si>
    <t>4 DP DOME CLEAR W/EYE</t>
  </si>
  <si>
    <t>CW4DHS2E</t>
  </si>
  <si>
    <t>CW4FHS2E</t>
  </si>
  <si>
    <t>4  MV DOME CLEAR W/EYELETS</t>
  </si>
  <si>
    <t>H7610</t>
  </si>
  <si>
    <t>BULB-SEALED BEAM HALOGEN FLOOD</t>
  </si>
  <si>
    <t>H7616</t>
  </si>
  <si>
    <t>BULB-SEALED BEAM HALOGEN SPOT</t>
  </si>
  <si>
    <t>IDR2BP00-000</t>
  </si>
  <si>
    <t>IDENTIFICATION BAR RED</t>
  </si>
  <si>
    <t>IDR2BP10-000</t>
  </si>
  <si>
    <t>IDR2BP20-000</t>
  </si>
  <si>
    <t>IDR2BP21-216</t>
  </si>
  <si>
    <t>ID BAR RED 18 FT LEAD</t>
  </si>
  <si>
    <t>IDR2BP31-060</t>
  </si>
  <si>
    <t>ID BAR RED 60 IN LEAD</t>
  </si>
  <si>
    <t>IDR2LP40-000</t>
  </si>
  <si>
    <t>IDENTIFICATION BAR RED LED</t>
  </si>
  <si>
    <t>IDR2LP41-120</t>
  </si>
  <si>
    <t>ID BAR RED LED 10 FT LEAD</t>
  </si>
  <si>
    <t>IDR2LP41-144</t>
  </si>
  <si>
    <t>ID BAR RED LED 12 FT LEAD</t>
  </si>
  <si>
    <t>IDR2LP41-168</t>
  </si>
  <si>
    <t>ID BAR RED LED 14 FT LEAD</t>
  </si>
  <si>
    <t>IDR2LP41-216</t>
  </si>
  <si>
    <t>ID BAR LED RED 18 FT LEAD</t>
  </si>
  <si>
    <t>IDR2LP50-000</t>
  </si>
  <si>
    <t>IDENTIFICATION BAR LED RED</t>
  </si>
  <si>
    <t>IDR2LP50-000-01</t>
  </si>
  <si>
    <t>IDR2LP60-000</t>
  </si>
  <si>
    <t>IDR2LP61-048</t>
  </si>
  <si>
    <t>ID BAR RED LED 48 IN LEAD</t>
  </si>
  <si>
    <t>IDR2LP61-144</t>
  </si>
  <si>
    <t>IDR2LP61-216</t>
  </si>
  <si>
    <t>ID BAR RED LED 18 FT LEAD</t>
  </si>
  <si>
    <t>IDR2LP70-000</t>
  </si>
  <si>
    <t>IDR2LP89-216</t>
  </si>
  <si>
    <t>ID BAR DC RED LED 18 FT LEAD</t>
  </si>
  <si>
    <t>MR2SGS2S</t>
  </si>
  <si>
    <t>LED Mk/Cl/ID sh red Mv Gmt Mt</t>
  </si>
  <si>
    <t>MR75GS2M</t>
  </si>
  <si>
    <t>LED RED MK/CL/ID BUTTON</t>
  </si>
  <si>
    <t>S5L-01-0350</t>
  </si>
  <si>
    <t>3-LAMP STEEL ANGLE MODULE LH</t>
  </si>
  <si>
    <t>S5R-01-0350</t>
  </si>
  <si>
    <t>2-LAMP STEEL ANGLE MODULE RH</t>
  </si>
  <si>
    <t>SC4FHM3E</t>
  </si>
  <si>
    <t>4  S/T/T-RED-44 LED-EYELETS</t>
  </si>
  <si>
    <t>SR4DHM3E</t>
  </si>
  <si>
    <t>4 DP S/T/T RED 44LED-EYE</t>
  </si>
  <si>
    <t>SR4FGM3S</t>
  </si>
  <si>
    <t>4 -44 LED S/T/T RED-SOCKET</t>
  </si>
  <si>
    <t>SR4FHM3E</t>
  </si>
  <si>
    <t>SR4XGS3S</t>
  </si>
  <si>
    <t>4  S/T/T RED W/INTEGRAL SOCKET</t>
  </si>
  <si>
    <t>SR4XHS3E</t>
  </si>
  <si>
    <t>4  S/T/T RED W/EYELETS</t>
  </si>
  <si>
    <t>SR6EGM3S</t>
  </si>
  <si>
    <t>6  OVL S/T/T RED 44 LED</t>
  </si>
  <si>
    <t>SR6EGS3S</t>
  </si>
  <si>
    <t>6  OVL S/T/T RED W/INT SOCKET</t>
  </si>
  <si>
    <t>SS4L-04-0326</t>
  </si>
  <si>
    <t>4-LAMP STAINLESS LED MODULE</t>
  </si>
  <si>
    <t>SS4LM-24-0590</t>
  </si>
  <si>
    <t>3-LAMP STAINLESS MODULE LED RS</t>
  </si>
  <si>
    <t>SS4LM-30-0667</t>
  </si>
  <si>
    <t>2-LAMP STAINLESS MODULE LED LH</t>
  </si>
  <si>
    <t>SS4RM-24-0590</t>
  </si>
  <si>
    <t>3-LAMP STAINLESS MODULE LED CS</t>
  </si>
  <si>
    <t>SS4RM-30-0667</t>
  </si>
  <si>
    <t>2-LAMP STAINLESS MODULE LED RH</t>
  </si>
  <si>
    <t>TA4DHM2E</t>
  </si>
  <si>
    <t>4 DP TURN AMBER 44LED W/EYE</t>
  </si>
  <si>
    <t>TA4FGM3S</t>
  </si>
  <si>
    <t>4 -44 LED-TURN AMBER-SOCKET</t>
  </si>
  <si>
    <t>TA4FHM2E</t>
  </si>
  <si>
    <t>4  TURN-AMB-44 LED-EYELETS</t>
  </si>
  <si>
    <t>TA4XGS3S</t>
  </si>
  <si>
    <t>4  TURN AMB W/INTEGRAL SOCKET</t>
  </si>
  <si>
    <t>12+</t>
  </si>
  <si>
    <t>LENS-CLEAR  HIGH HAT (71-612)</t>
  </si>
  <si>
    <t>LENS-OVAL LAMP  BACK-UP</t>
  </si>
  <si>
    <t>LENS-RED ARROW 7   771T-122</t>
  </si>
  <si>
    <t>LENS-CLEAR (771-112)</t>
  </si>
  <si>
    <t>LENS CLEAR (221-112)</t>
  </si>
  <si>
    <t>24+</t>
  </si>
  <si>
    <t>48+</t>
  </si>
  <si>
    <t>FTG-STRAIGHT 3/8 X 1/2 (TN-34)</t>
  </si>
  <si>
    <t>FTG-STRAIGHT 5/8 X 3/4 (TN-56)</t>
  </si>
  <si>
    <t>BULB MINIATURE #1683 24V 32 CP</t>
  </si>
  <si>
    <t>SEALED BEAM FLOOD #46020 12.8V</t>
  </si>
  <si>
    <t>4415A</t>
  </si>
  <si>
    <t>SEALED BEAM #46034 12V</t>
  </si>
  <si>
    <t>BULB #1662 24V 32 &amp; 3 CP</t>
  </si>
  <si>
    <t>910153-024</t>
  </si>
  <si>
    <t>PLUG 2 COND. 24"  W/RING TERM</t>
  </si>
  <si>
    <t>910153-096</t>
  </si>
  <si>
    <t>PLUG 2 COND. 96  W/RING TERM</t>
  </si>
  <si>
    <t>CABLE 2 COND 1000FT BLUE-WHITE</t>
  </si>
  <si>
    <t>PLUG 6 COND 10 FT MALE</t>
  </si>
  <si>
    <t>HARNESS-MOD END 3 LAMP CS 15'</t>
  </si>
  <si>
    <t>PLUG 6 COND 10 FT FEMALE</t>
  </si>
  <si>
    <t>910152-120</t>
  </si>
  <si>
    <t>HARNESS S/T/T/B/M</t>
  </si>
  <si>
    <t>PLUG 6 COND 18  FEMALE</t>
  </si>
  <si>
    <t>920533-240</t>
  </si>
  <si>
    <t>CABLE-3 COND 50FT</t>
  </si>
  <si>
    <t>HARNESS 2LMP/SM G/Y TURN 8'</t>
  </si>
  <si>
    <t>CABLE-3 COND 30FT</t>
  </si>
  <si>
    <t>910151-120</t>
  </si>
  <si>
    <t>910145-012-012</t>
  </si>
  <si>
    <t>SPLITTER-PL2 BULLET TO PL2</t>
  </si>
  <si>
    <t>920435-024</t>
  </si>
  <si>
    <t>PLUG 3 COND SUPERSEAL-24"</t>
  </si>
  <si>
    <t>CABLE-3 COND 20FT</t>
  </si>
  <si>
    <t>Wire 14GA BLK GXL 500' REEL</t>
  </si>
  <si>
    <t>WIRE 14GA WHT GXL 500' REEL</t>
  </si>
  <si>
    <t>14WHT4-2525</t>
  </si>
  <si>
    <t>WIRE-14 GA GPT 4  WHITE</t>
  </si>
  <si>
    <t>STROBE 4-LED AMBER LAMP</t>
  </si>
  <si>
    <t>STROBE 12-LED AMBER LAMP</t>
  </si>
  <si>
    <t>9W3065</t>
  </si>
  <si>
    <t>BATTERY SEALED 12V 7AMD#87F637</t>
  </si>
  <si>
    <t>9W9627</t>
  </si>
  <si>
    <t>LABEL CIRCUIT ID 6.75 X 2.75</t>
  </si>
  <si>
    <t>JMPR RES 91-OHM 3W #10 RNG TRM</t>
  </si>
  <si>
    <t>BOARD P.C. ASSY ALT FLASHER</t>
  </si>
  <si>
    <t>REMOTE TESTER COMPLETE UNIT</t>
  </si>
  <si>
    <t>REMOTE TESTER CABLE 7WAY 2END</t>
  </si>
  <si>
    <t>LED RED SNG DIODE ASSY B-73</t>
  </si>
  <si>
    <t>9Z9431</t>
  </si>
  <si>
    <t>RING TERMINAL C-228-10X</t>
  </si>
  <si>
    <t>TERM-RING-#10-16/14-BARE-BULK</t>
  </si>
  <si>
    <t>SPLICE-CAP-12/22-WHT-BULK</t>
  </si>
  <si>
    <t>ANG.MTG. RING W/4466 NO WIRE</t>
  </si>
  <si>
    <t>TURN/MKR AMB OVAL CS 12  PLUG</t>
  </si>
  <si>
    <t>FT PRK/TRN-OVAL AMBER W/920413</t>
  </si>
  <si>
    <t>BACK UP-OVAL W/920413</t>
  </si>
  <si>
    <t>TURN/TAIL RED SH RS 12  PLUG</t>
  </si>
  <si>
    <t>TURN ONLY AMB DEEP RS 4  PLUG</t>
  </si>
  <si>
    <t>STOP/TAIL RED DEEP CS 4  PLUG</t>
  </si>
  <si>
    <t>TURN ONLY AMB DEEP CS 4  PLUG</t>
  </si>
  <si>
    <t>S/T/T RED W/GRD STRAP</t>
  </si>
  <si>
    <t>STOP/TURN RED W/GRD. STRAP</t>
  </si>
  <si>
    <t>STOP OR TURN RED (40V-01222)</t>
  </si>
  <si>
    <t>STOP OR TURN RED (40V-01122)</t>
  </si>
  <si>
    <t>TURN AMBER W/GRD STRAP</t>
  </si>
  <si>
    <t>STP/TRN/TL/LIC RED(40VG-03222)</t>
  </si>
  <si>
    <t>STOP OR TURN RED (45VG-01222)</t>
  </si>
  <si>
    <t>STP/TL/LIC RED DEEP RS 4  PLUG</t>
  </si>
  <si>
    <t>JUNCTION BOX (45VA-08112)</t>
  </si>
  <si>
    <t>STP/TRN/TL LIC RED(45VA-03222)</t>
  </si>
  <si>
    <t>B/U W/8' CABLE &amp; GRD STRAP</t>
  </si>
  <si>
    <t>STOP OR TURN RED (45VB-01122)</t>
  </si>
  <si>
    <t>BACK-UP (45VAG-04112)</t>
  </si>
  <si>
    <t>STP/TRN/TL RED (45V-02222)</t>
  </si>
  <si>
    <t>STP/TRN/TL RED (45VG-02222)</t>
  </si>
  <si>
    <t>FLOOD W/GRD STRAP</t>
  </si>
  <si>
    <t>FLOOD (45V-07713)</t>
  </si>
  <si>
    <t>TURN AMBER (45VG-01232)</t>
  </si>
  <si>
    <t>STP/TRN/TL RED (47V-02122)</t>
  </si>
  <si>
    <t>TURN AMBER (47V-01232)</t>
  </si>
  <si>
    <t>BACK-UP (47V-04112)</t>
  </si>
  <si>
    <t>JUNCTION BOX (47VG-08112)</t>
  </si>
  <si>
    <t>26446L348</t>
  </si>
  <si>
    <t>GARNET SPECIAL SWITCH HOLDER</t>
  </si>
  <si>
    <t>DOME B-50V DP W/GROUND STRAP</t>
  </si>
  <si>
    <t>B/U W/CHK SL BGXL WIRE &amp; GRD</t>
  </si>
  <si>
    <t>CLR/MKR AMBER SHALLOW 12  PLUG</t>
  </si>
  <si>
    <t>SPECIAL PURPOSE RED</t>
  </si>
  <si>
    <t>SPECIAL PURPOSE D.C. AMB W/GRD</t>
  </si>
  <si>
    <t>SPECIAL PURPOSE AMBER</t>
  </si>
  <si>
    <t>BACK-UP (56VG-04212)</t>
  </si>
  <si>
    <t>CLR/MKR RED W/GRD STRAP</t>
  </si>
  <si>
    <t>CLR/MKR AMBER W/GRD STRAP</t>
  </si>
  <si>
    <t>DOME (56V-06212)</t>
  </si>
  <si>
    <t>TRN/MKR AMBER VALOX</t>
  </si>
  <si>
    <t>LED-SPEC. PUR. AMB D.C. SHAL V</t>
  </si>
  <si>
    <t>FLOOD</t>
  </si>
  <si>
    <t>STOP OR TURN RED (81-01122)</t>
  </si>
  <si>
    <t>831 BLACK BODY/ORING  9/16</t>
  </si>
  <si>
    <t>831 WHITE BODY/ORING  9/16</t>
  </si>
  <si>
    <t>IDR2BP30-000</t>
  </si>
  <si>
    <t>IDA2BP00-000</t>
  </si>
  <si>
    <t>IDENTIFICATION BAR AMBER</t>
  </si>
  <si>
    <t>CLR/MKR AMBER (212-05132)</t>
  </si>
  <si>
    <t>CLR/MKR RED (212-05122)</t>
  </si>
  <si>
    <t>CLR/MKR RED (215V-05122) BLACK</t>
  </si>
  <si>
    <t>IDR2BP01-216</t>
  </si>
  <si>
    <t>LAMP ACCESORY DOC HOLDER BLACK</t>
  </si>
  <si>
    <t>SS4L-01-0688</t>
  </si>
  <si>
    <t>UPPER MODULE w/AMBER FLASHERS</t>
  </si>
  <si>
    <t>S5RM-01-0326</t>
  </si>
  <si>
    <t>CURBSIDE MODULE 45 STEEL FRAME</t>
  </si>
  <si>
    <t>S5LM-01-0326</t>
  </si>
  <si>
    <t>ROADSIDE MODULE 45 STEEL FRAME</t>
  </si>
  <si>
    <t>A4LM-05-0042</t>
  </si>
  <si>
    <t>ROADSIDE MODULE LED</t>
  </si>
  <si>
    <t>SS4L-07-0309</t>
  </si>
  <si>
    <t>UPPER MODULE RD/RD/FLASH/RD/RD</t>
  </si>
  <si>
    <t>B40 WRN AMBR LED DIR AF WIRES</t>
  </si>
  <si>
    <t>BEACON HALGN AMBER (47V-24632)</t>
  </si>
  <si>
    <t>B47 WRN WHT LED OMNI QF WIRES</t>
  </si>
  <si>
    <t>B47 WRN AMBR LED OMNI QF WIRES</t>
  </si>
  <si>
    <t>B45 WARNING AMBR LED QF DIR</t>
  </si>
  <si>
    <t>B47 WRN AMBR LED DIR QF WIRES</t>
  </si>
  <si>
    <t>B47 WRN WHT LED DIR QF WIRES</t>
  </si>
  <si>
    <t>19129AL</t>
  </si>
  <si>
    <t>MOUNTING POST 9/16 STUD ADAPT</t>
  </si>
  <si>
    <t>CLR/MKR AMBER W/12  PLUG</t>
  </si>
  <si>
    <t>WHITE  FLOOD (805-07113)</t>
  </si>
  <si>
    <t>B835 BLACK BODY &amp; ADAPTOR</t>
  </si>
  <si>
    <t>B835 BODY &amp; ADAPTOR W/920420</t>
  </si>
  <si>
    <t>TURN AMBER ARROW W/12  PLUG</t>
  </si>
  <si>
    <t>TURN RED ARROW</t>
  </si>
  <si>
    <t>TURN RED ARROW W/12' CABLE</t>
  </si>
  <si>
    <t>STOP OR TURN RED</t>
  </si>
  <si>
    <t>3B02-012-05S</t>
  </si>
  <si>
    <t>3G03-180-05S</t>
  </si>
  <si>
    <t>3W02-012-05S</t>
  </si>
  <si>
    <t>3G02-012-07S</t>
  </si>
  <si>
    <t>WORK FLOOD CLEAR INC SW 24V</t>
  </si>
  <si>
    <t>3G04-360-04S</t>
  </si>
  <si>
    <t>3G01-012-06S</t>
  </si>
  <si>
    <t>WORK HFLOOD CLEAR INC SW</t>
  </si>
  <si>
    <t>3G05-120-04SE</t>
  </si>
  <si>
    <t>3G01-012-05E</t>
  </si>
  <si>
    <t>WORK HSPOT CLEAR INC EXT</t>
  </si>
  <si>
    <t>3G02-012-05E</t>
  </si>
  <si>
    <t>RETAINER 4  LAMPS (PKG OF100)</t>
  </si>
  <si>
    <t>HARDWARE PKG 7 POLE DISC</t>
  </si>
  <si>
    <t>210V LED BODY/ORING 2 SIDE</t>
  </si>
  <si>
    <t>40 SERIES BODY/O-RING (4) CS</t>
  </si>
  <si>
    <t>56 SWITCH BODY/ORING VALOX</t>
  </si>
  <si>
    <t>65 BODY/ORING 1 REAR CS</t>
  </si>
  <si>
    <t>FRAME 3-LAMP SS 40 SERIES LEFT</t>
  </si>
  <si>
    <t>FRAME 3-LAMP SS 40 SERIESRIGHT</t>
  </si>
  <si>
    <t>A5LM-01-0342</t>
  </si>
  <si>
    <t>3-LAMP ALUMINUM LED MODULE LH</t>
  </si>
  <si>
    <t>A4RM-02-0922</t>
  </si>
  <si>
    <t>SS4RM-06-0590</t>
  </si>
  <si>
    <t>2-LAMP SS BOX MODULE LED RH</t>
  </si>
  <si>
    <t>A4RM-10-0611</t>
  </si>
  <si>
    <t>3-LAMP ALUM BOX MODULE RH LED</t>
  </si>
  <si>
    <t>A4LM-09-0611</t>
  </si>
  <si>
    <t>2-LAMP ALUM BOX MODULE LH LED</t>
  </si>
  <si>
    <t>A4RM-09-0611</t>
  </si>
  <si>
    <t>2-LAMP ALUM BOX MODULE RH LED</t>
  </si>
  <si>
    <t>A4LM-08-0611</t>
  </si>
  <si>
    <t>MODULE LH STEEL (S512-LM)</t>
  </si>
  <si>
    <t>SS4LM-34-0667</t>
  </si>
  <si>
    <t>2-LAMP SS BOX MODULE LED LH</t>
  </si>
  <si>
    <t>SS4L-01-0309</t>
  </si>
  <si>
    <t>MODULE-B40 LAMPS CURBSIDE</t>
  </si>
  <si>
    <t>MODULE-B40 LAMPS ROAD SIDE</t>
  </si>
  <si>
    <t>SDIODE MOD 2 LAMP W/SM LH AL</t>
  </si>
  <si>
    <t>SDIODE MOD 2 LAMP W/SM RH AL</t>
  </si>
  <si>
    <t>LED-2 LAMP MODULE LH MS</t>
  </si>
  <si>
    <t>LED-2 LAMP MODULE W/JB RH MS</t>
  </si>
  <si>
    <t>SS4RM-26-0667</t>
  </si>
  <si>
    <t>3-LAMP STAINLESS MODULE LED RH</t>
  </si>
  <si>
    <t>LED-3 LAMP MODULE LH MS</t>
  </si>
  <si>
    <t>LED-3 LAMP MODULE RH MS</t>
  </si>
  <si>
    <t>SS4LM-35-0667</t>
  </si>
  <si>
    <t>4-LAMP ROADSIDE MODULE LED</t>
  </si>
  <si>
    <t>SS4RM-34-0667</t>
  </si>
  <si>
    <t>MODULE LH STEEL (S4121-LM)</t>
  </si>
  <si>
    <t>MODULE RH STEEL (S4121-RM)</t>
  </si>
  <si>
    <t>MODULE LH STEEL (S4222-L)</t>
  </si>
  <si>
    <t>SS4RM-35-0667</t>
  </si>
  <si>
    <t>4-LAMP CURBSIDE MODULE LED</t>
  </si>
  <si>
    <t>MODULE LH STEEL (SF512-L)</t>
  </si>
  <si>
    <t>MODULE LH STEEL (SF512-R)</t>
  </si>
  <si>
    <t>A5RM-01-0106</t>
  </si>
  <si>
    <t>3-LAMP ALUMINUM LED MODULE RH</t>
  </si>
  <si>
    <t>LED-3 LAMP MODULE LH STEEL</t>
  </si>
  <si>
    <t>LED-3 LAMP MODULE RH STEEL</t>
  </si>
  <si>
    <t>A5LM-01-0106</t>
  </si>
  <si>
    <t>SS4RM-01-0792</t>
  </si>
  <si>
    <t>3-LAMP STAINLESS LED MODULE RH</t>
  </si>
  <si>
    <t>SS4LM-12-0667</t>
  </si>
  <si>
    <t>3-LAMP SS BOX MODULE LED RS</t>
  </si>
  <si>
    <t>SS4LM-01-0335</t>
  </si>
  <si>
    <t>3-LAMP STAINLESS MODULE LED LH</t>
  </si>
  <si>
    <t>MODULE B40 STAINLES CURBSIDE</t>
  </si>
  <si>
    <t>MODULE B40 STAINLESS ROADSIDE</t>
  </si>
  <si>
    <t>A4RM-08-0611</t>
  </si>
  <si>
    <t>SS4LM-01-0792</t>
  </si>
  <si>
    <t>3-LAMP STAINLESS LED MODULE LH</t>
  </si>
  <si>
    <t>SS4RM-01-0335</t>
  </si>
  <si>
    <t>AF4L-04-0025</t>
  </si>
  <si>
    <t>4-LAMP ALUMINUM LED MODULE LH</t>
  </si>
  <si>
    <t>AF4R-04-0025</t>
  </si>
  <si>
    <t>4-LAMP ALUMINUM LED MODULE RH</t>
  </si>
  <si>
    <t>A4L-04-0938</t>
  </si>
  <si>
    <t>3-LAMP ALUMINUM MODULE LH LED</t>
  </si>
  <si>
    <t>A4R-08-0741</t>
  </si>
  <si>
    <t>A4LM-07-0188</t>
  </si>
  <si>
    <t>A4RM-07-0188</t>
  </si>
  <si>
    <t>LED-2 LAMP MODULE W/SM RH ALUM</t>
  </si>
  <si>
    <t>LED-2 LAMP MODULE W/SM LH ALUM</t>
  </si>
  <si>
    <t>A4RM-05-0042</t>
  </si>
  <si>
    <t>SPECIAL CURBSIDE MODULE LED</t>
  </si>
  <si>
    <t>A4L-01-0961</t>
  </si>
  <si>
    <t>3-LAMP MODULE LED LH</t>
  </si>
  <si>
    <t>A4LM-07-0270</t>
  </si>
  <si>
    <t>2-LAMP MODULE (413030)</t>
  </si>
  <si>
    <t>A4R-01-0961</t>
  </si>
  <si>
    <t>3-LAMP MODULE LED RH</t>
  </si>
  <si>
    <t>A4RM-12-0139</t>
  </si>
  <si>
    <t>A4RM-06-0270</t>
  </si>
  <si>
    <t>A4LM-06-0270</t>
  </si>
  <si>
    <t>LED-2 LMP MODULE JB&amp;SM RH ALUM</t>
  </si>
  <si>
    <t>A4L-03-1000</t>
  </si>
  <si>
    <t>3-LAMP ALUMINUM  MODULE LH LED</t>
  </si>
  <si>
    <t>A4R-03-1000</t>
  </si>
  <si>
    <t>3-LAMP ALUMINUM  MODULE RH LED</t>
  </si>
  <si>
    <t>A4LM-12-0139</t>
  </si>
  <si>
    <t>A4RM-09-0139</t>
  </si>
  <si>
    <t>SPECIAL MODULE (412020) LED BU</t>
  </si>
  <si>
    <t>LED-3 LAMP MODULE RH AL T/S/S</t>
  </si>
  <si>
    <t>A4LM-09-0139</t>
  </si>
  <si>
    <t>SPECIAL MODULE (412018) LED BU</t>
  </si>
  <si>
    <t>LED-3 LAMP MODULE LH AL T/S/S</t>
  </si>
  <si>
    <t>LED-2 LAMP MODULE W/JB LH ALUM</t>
  </si>
  <si>
    <t>MODULE RH ALUM (A412-RM)</t>
  </si>
  <si>
    <t>MODULE LH ALUM (A412-LM)</t>
  </si>
  <si>
    <t>MODULE LH ALUM (A4121-LM)</t>
  </si>
  <si>
    <t>MODULE RH ALUM (A4121-RM)</t>
  </si>
  <si>
    <t>MODULE LH ALUM (A4221-LM)</t>
  </si>
  <si>
    <t>MODULE RH ALUM (A4221-RM)</t>
  </si>
  <si>
    <t>ANG.MTG.RING W/LED PAR 18 WIRE</t>
  </si>
  <si>
    <t>36117AL</t>
  </si>
  <si>
    <t>MODULE FRAME BLACK LINDE</t>
  </si>
  <si>
    <t>BRACKET-LICENSE (LPH-1S)</t>
  </si>
  <si>
    <t>28319LH</t>
  </si>
  <si>
    <t>FRAME 4-LAMP MODULE RS</t>
  </si>
  <si>
    <t>28319RH</t>
  </si>
  <si>
    <t>FRAME 4-LAMP MODULE CS</t>
  </si>
  <si>
    <t>BRACKET-LICENSE ALUMINUM</t>
  </si>
  <si>
    <t>BRACKET-I.D. 65AL (27204AL)</t>
  </si>
  <si>
    <t>FRAME-2 LMP 40 ALUM W/SM</t>
  </si>
  <si>
    <t>FRAME-3 LMP 40 STL ANGLE</t>
  </si>
  <si>
    <t>FRAME-3 LMP 45 ALUM W.SM</t>
  </si>
  <si>
    <t>FRAME-3 LMP 40 STL TRACTOR</t>
  </si>
  <si>
    <t>FRAME-2 LMP 40 STL</t>
  </si>
  <si>
    <t>FRAME-3 LMP 40 STL</t>
  </si>
  <si>
    <t>FRAME-3 COMP B40 FLAT ALUM.</t>
  </si>
  <si>
    <t>FRAME-2 LAMP STAIN W/SM RIGHT</t>
  </si>
  <si>
    <t>FRAME-2 B-40 LAMP SS W/SM R.S.</t>
  </si>
  <si>
    <t>FRAME-2 B-40 LAMP SS W/SM C.S.</t>
  </si>
  <si>
    <t>FRAME-CURBSIDE B40 STAINLESS</t>
  </si>
  <si>
    <t>FRAME-CURBSIDE B40 ALUMINUM</t>
  </si>
  <si>
    <t>BRACKET-LICENSE BOTTOM MNT.</t>
  </si>
  <si>
    <t>BRACKET EXTENDED U FOR 835 SS</t>
  </si>
  <si>
    <t>KIT (RKV-3)</t>
  </si>
  <si>
    <t>REMOTE TESTER KIT 418-MHZ</t>
  </si>
  <si>
    <t>SIDE BLK.NOSE BOX  GRAY</t>
  </si>
  <si>
    <t>SIDE BLK.NOSE BOX  WHITE</t>
  </si>
  <si>
    <t>LED STP/TL RED DP RS 12  PLUG</t>
  </si>
  <si>
    <t>LED STP/TL RED DP CS 12  PLUG</t>
  </si>
  <si>
    <t>LED TTN/TL RED DP CS 12  PLUG</t>
  </si>
  <si>
    <t>LED T/T MV RED DEEP CS 4  PLUG</t>
  </si>
  <si>
    <t>LED T/T MV RED DEEP RS 4  PLUG</t>
  </si>
  <si>
    <t>LED TRN ONLY AMB DP RS 12  PLG</t>
  </si>
  <si>
    <t>LED TURN ONLY AMB DP CS 4  PLG</t>
  </si>
  <si>
    <t>LED T/T/L MV RD DP CS 12  PLUG</t>
  </si>
  <si>
    <t>LED T/T/L MV RD DP RS 12  PLUG</t>
  </si>
  <si>
    <t>LED S/T/L MV RED DP RS 4  PLUG</t>
  </si>
  <si>
    <t>LED TRN ONLY AMB SH RS 12  PLG</t>
  </si>
  <si>
    <t>LED-SNG DIODE S/T/T W/18  LNG</t>
  </si>
  <si>
    <t>STP/TRN/TL/LIC LED RED (40V)</t>
  </si>
  <si>
    <t>LED  AMBER SEQ ARROW W/920413</t>
  </si>
  <si>
    <t>LED  AMBER SEQ ARROW W/920420</t>
  </si>
  <si>
    <t>LED TURN AMB SHAL W/GRD STRAP</t>
  </si>
  <si>
    <t>BACKUP LED 12  PLUG</t>
  </si>
  <si>
    <t>3B02-012-01S</t>
  </si>
  <si>
    <t>3B02-012-03S</t>
  </si>
  <si>
    <t>3G05-120-01S</t>
  </si>
  <si>
    <t>3G05-024-03S</t>
  </si>
  <si>
    <t>WORK SPOT CLEAR LED SWITCH</t>
  </si>
  <si>
    <t>3G05-018-01S</t>
  </si>
  <si>
    <t>3G03-420-01</t>
  </si>
  <si>
    <t>3G01-012-03S</t>
  </si>
  <si>
    <t>LED SPOT W/SWITCH</t>
  </si>
  <si>
    <t>LED SPOT WHITE</t>
  </si>
  <si>
    <t>AR2SGS3S</t>
  </si>
  <si>
    <t>AUX-2.5 RED SH-GMT MT</t>
  </si>
  <si>
    <t>MA2SGS2S</t>
  </si>
  <si>
    <t>LED Mk/Cl/ID Sh amb Mv Gmt Mt</t>
  </si>
  <si>
    <t>MR2SHS2E</t>
  </si>
  <si>
    <t>MARKER-2.5-RED-LITE RANGER</t>
  </si>
  <si>
    <t>MA2SHS2E</t>
  </si>
  <si>
    <t>MARKER-2.5-AMBER-LITE RANGER</t>
  </si>
  <si>
    <t>LED TRN/MK AMB OVAL RS 4  PLUG</t>
  </si>
  <si>
    <t>LED TRN/MK AMB OVAL RS 12  PLG</t>
  </si>
  <si>
    <t>LED TRN/MK AMB OVAL CS 4  PLUG</t>
  </si>
  <si>
    <t>LED TRN/MK AMB OVAL CS 12  PLG</t>
  </si>
  <si>
    <t>LED LUX S/T/T OVAL W/920420</t>
  </si>
  <si>
    <t>LED-B-56 I.D. BAR RED</t>
  </si>
  <si>
    <t>IDA2LP70-000</t>
  </si>
  <si>
    <t>IDENTIFICATION BAR AMBER LED</t>
  </si>
  <si>
    <t>STOCK ASSY-211205 W/8  B2P</t>
  </si>
  <si>
    <t>200217A084</t>
  </si>
  <si>
    <t>MARKER RED LED 7' CABLE</t>
  </si>
  <si>
    <t>LED AMB SHALLOW DC CS 4  PLUG</t>
  </si>
  <si>
    <t>LED RED SHALLOW DC RS 12  PLUG</t>
  </si>
  <si>
    <t>LED RED SHALLOW DC CS 12  PLUG</t>
  </si>
  <si>
    <t>IDR2LP41-240</t>
  </si>
  <si>
    <t>ID BAR RED LED 20 FT LEAD</t>
  </si>
  <si>
    <t>LED AMB SHALLOW DC RS 12  PLUG</t>
  </si>
  <si>
    <t>LED AMB SHALLOW DC CS 12  PLUG</t>
  </si>
  <si>
    <t>LED RED DEEP DC RS 4  PLUG</t>
  </si>
  <si>
    <t>LED CLR/MKR AMB DEEP W/4  PLUG</t>
  </si>
  <si>
    <t>LED RED DEEP DC CS 4  PLUG</t>
  </si>
  <si>
    <t>IDR2LP60-000-00</t>
  </si>
  <si>
    <t>LED RED DEEP DC RS 12  PLUG</t>
  </si>
  <si>
    <t>211306N004</t>
  </si>
  <si>
    <t>MARKER/TURN AMB LED 4" PLUG</t>
  </si>
  <si>
    <t>LED RED DEEP DC CS 12  PLUG</t>
  </si>
  <si>
    <t>200218A180L</t>
  </si>
  <si>
    <t>ABS AMBER LED 15' CABLE</t>
  </si>
  <si>
    <t>IDR2LP43-108</t>
  </si>
  <si>
    <t>ID BAR LED RED MALE PLUG</t>
  </si>
  <si>
    <t>650230D006</t>
  </si>
  <si>
    <t>650203D008</t>
  </si>
  <si>
    <t>IDR2LP43-036</t>
  </si>
  <si>
    <t>ID BAR RED LED MALE PLUG</t>
  </si>
  <si>
    <t>MARKER RED LED FEMALE PLUG</t>
  </si>
  <si>
    <t>650229K009</t>
  </si>
  <si>
    <t>MARKER AMBER LED 910135 PLUG</t>
  </si>
  <si>
    <t>211206W1</t>
  </si>
  <si>
    <t>MARKER AMBER LED W/WIRE CHOKE</t>
  </si>
  <si>
    <t>650228K009</t>
  </si>
  <si>
    <t>MARKER RED LED 910135 PLUG</t>
  </si>
  <si>
    <t>650229K009L</t>
  </si>
  <si>
    <t>ABS AMBER LED 910135 PLUG</t>
  </si>
  <si>
    <t>LED RED MKR GROM MT 1 REAR</t>
  </si>
  <si>
    <t>I.D. BAR-LED AMB 1 END 18' CA</t>
  </si>
  <si>
    <t>LED-LAMP SPC PUR DP DC RED</t>
  </si>
  <si>
    <t>LED-LAMP SPC PUR DP DC AMBER</t>
  </si>
  <si>
    <t>LED CLR/MKR RED  1 REAR  BLACK</t>
  </si>
  <si>
    <t>LED-SP PURP SH D.C. AMB. B-50V</t>
  </si>
  <si>
    <t>LED-SP PURP D.C. AMBER B-50V</t>
  </si>
  <si>
    <t>LED-S.P.  D.C. AMBER SHAL MV</t>
  </si>
  <si>
    <t>DOME-CAB LED  WHITE W/EYE-24V</t>
  </si>
  <si>
    <t>S211 I D BAR BODY &amp; O-RINGS</t>
  </si>
  <si>
    <t>IDR2LP63-024</t>
  </si>
  <si>
    <t>LED STOP/TL RED SH RS 12  PLUG</t>
  </si>
  <si>
    <t>LED TURN/TL RED SH RS 12  PLUG</t>
  </si>
  <si>
    <t>LED TRN/TL RED DEEP RS 4  PLUG</t>
  </si>
  <si>
    <t>LED TURN/TL RED SH CS 12  PLUG</t>
  </si>
  <si>
    <t>LED STOP/TL RED SH CS 12  PLUG</t>
  </si>
  <si>
    <t>LED TRN/TL RED DEEP CS 4  PLUG</t>
  </si>
  <si>
    <t>LED TRN ONLY AMB DP CS 4  PLUG</t>
  </si>
  <si>
    <t>LED TRN ONLY AMB DP RS 4  PLUG</t>
  </si>
  <si>
    <t>LED-STOP/TURN RED 18  PIGTAIL</t>
  </si>
  <si>
    <t>LED SDIODE-S/T/T 8FT CABLE</t>
  </si>
  <si>
    <t>LED SDIODE S/T/T RED SHALLOW</t>
  </si>
  <si>
    <t>LED-S/T/T DP 3 CHK SLS &amp; GRD</t>
  </si>
  <si>
    <t>STP/TRN/TL/LIC LED RED (45VA)</t>
  </si>
  <si>
    <t>STP/TRN/TL/LIC LED RED (45V)</t>
  </si>
  <si>
    <t>LED-TURN AMBER DEEP</t>
  </si>
  <si>
    <t>LED TRN AMB ARROW W/4  PLUG</t>
  </si>
  <si>
    <t>LED TRN AMB ARROW W/12  PLUG</t>
  </si>
  <si>
    <t>LED SDIODE TURN AMBER</t>
  </si>
  <si>
    <t>LED-RED ARROW STUD MOUNT</t>
  </si>
  <si>
    <t>TA4XHS2E</t>
  </si>
  <si>
    <t>4  TURN AMBER W/EYELETS</t>
  </si>
  <si>
    <t>MA75GS2M</t>
  </si>
  <si>
    <t>LED AMBER MK/CL/ID BUTTON</t>
  </si>
  <si>
    <t>710001PSR</t>
  </si>
  <si>
    <t>60LED PSR LENS-S/T/T W/EYELETS</t>
  </si>
  <si>
    <t>TR6EGM3S</t>
  </si>
  <si>
    <t>6 OVAL STOP ONLY RED W/ SOCKET</t>
  </si>
  <si>
    <t>C/M RED LED SHALLOW DCNI BASE</t>
  </si>
  <si>
    <t>C/M AMBER LED SH DCNI BASE</t>
  </si>
  <si>
    <t>AA6EGS3S</t>
  </si>
  <si>
    <t>6  OVL T/M AMBER W/INT SOCKET</t>
  </si>
  <si>
    <t>C/M AMBER LED SH D.C W/BASE</t>
  </si>
  <si>
    <t>C/M AMBER LED DP DC W/BASE</t>
  </si>
  <si>
    <t>C/M RED LED DP DC W/BASE</t>
  </si>
  <si>
    <t>C/M RED LED SH D.C W/BASE</t>
  </si>
  <si>
    <t>SP WHITE LED SH MV W/BASE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</si>
</sst>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0.000"/>
    <numFmt numFmtId="165" formatCode="&quot;$&quot;#,##0.00"/>
  </numFmts>
  <fonts count="10" x14ac:knownFonts="1">
    <font>
      <sz val="10"/>
      <name val="Arial"/>
      <family val="2"/>
    </font>
    <font>
      <sz val="10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8"/>
      <color indexed="10"/>
      <name val="Arial"/>
      <family val="2"/>
    </font>
    <font>
      <b/>
      <sz val="12"/>
      <color indexed="9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3">
    <xf numFmtId="0" fontId="0" fillId="0" borderId="0" xfId="0"/>
    <xf numFmtId="0" fontId="5" fillId="2" borderId="4" xfId="0" applyFont="1" applyFill="1" applyBorder="1" applyAlignment="1">
      <alignment horizontal="center" vertical="center" wrapText="1"/>
    </xf>
    <xf numFmtId="44" fontId="5" fillId="2" borderId="5" xfId="1" applyFont="1" applyFill="1" applyBorder="1" applyAlignment="1">
      <alignment horizontal="center" vertical="center" wrapText="1"/>
    </xf>
    <xf numFmtId="44" fontId="5" fillId="2" borderId="6" xfId="1" applyFont="1" applyFill="1" applyBorder="1" applyAlignment="1">
      <alignment horizontal="center" vertical="center" wrapText="1"/>
    </xf>
    <xf numFmtId="14" fontId="5" fillId="2" borderId="7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2" borderId="8" xfId="0" applyFont="1" applyFill="1" applyBorder="1" applyAlignment="1">
      <alignment horizontal="center"/>
    </xf>
    <xf numFmtId="0" fontId="6" fillId="3" borderId="9" xfId="0" applyFont="1" applyFill="1" applyBorder="1"/>
    <xf numFmtId="0" fontId="6" fillId="3" borderId="9" xfId="0" applyFont="1" applyFill="1" applyBorder="1" applyAlignment="1">
      <alignment horizontal="center"/>
    </xf>
    <xf numFmtId="14" fontId="6" fillId="3" borderId="9" xfId="0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0" fillId="5" borderId="0" xfId="0" applyFill="1"/>
    <xf numFmtId="14" fontId="0" fillId="5" borderId="0" xfId="0" applyNumberFormat="1" applyFill="1"/>
    <xf numFmtId="14" fontId="0" fillId="0" borderId="0" xfId="0" applyNumberFormat="1"/>
    <xf numFmtId="0" fontId="0" fillId="0" borderId="0" xfId="0" applyAlignment="1">
      <alignment horizontal="center"/>
    </xf>
    <xf numFmtId="1" fontId="9" fillId="6" borderId="15" xfId="0" applyNumberFormat="1" applyFont="1" applyFill="1" applyBorder="1" applyAlignment="1">
      <alignment horizontal="center" wrapText="1"/>
    </xf>
    <xf numFmtId="0" fontId="9" fillId="6" borderId="0" xfId="0" applyFont="1" applyFill="1" applyAlignment="1">
      <alignment horizontal="center" wrapText="1"/>
    </xf>
    <xf numFmtId="164" fontId="9" fillId="6" borderId="0" xfId="1" applyNumberFormat="1" applyFont="1" applyFill="1" applyBorder="1" applyAlignment="1">
      <alignment horizontal="left" wrapText="1"/>
    </xf>
    <xf numFmtId="0" fontId="9" fillId="6" borderId="16" xfId="0" applyFont="1" applyFill="1" applyBorder="1" applyAlignment="1">
      <alignment horizontal="left" wrapText="1"/>
    </xf>
    <xf numFmtId="0" fontId="7" fillId="0" borderId="0" xfId="0" applyFont="1"/>
    <xf numFmtId="0" fontId="7" fillId="2" borderId="17" xfId="0" applyFont="1" applyFill="1" applyBorder="1" applyAlignment="1">
      <alignment horizontal="left"/>
    </xf>
    <xf numFmtId="0" fontId="7" fillId="2" borderId="18" xfId="0" applyFont="1" applyFill="1" applyBorder="1" applyAlignment="1">
      <alignment horizontal="left"/>
    </xf>
    <xf numFmtId="164" fontId="7" fillId="2" borderId="18" xfId="1" applyNumberFormat="1" applyFont="1" applyFill="1" applyBorder="1" applyAlignment="1">
      <alignment horizontal="left"/>
    </xf>
    <xf numFmtId="164" fontId="7" fillId="2" borderId="19" xfId="1" applyNumberFormat="1" applyFont="1" applyFill="1" applyBorder="1" applyAlignment="1">
      <alignment horizontal="left"/>
    </xf>
    <xf numFmtId="0" fontId="7" fillId="2" borderId="20" xfId="0" applyFont="1" applyFill="1" applyBorder="1" applyAlignment="1">
      <alignment horizontal="left"/>
    </xf>
    <xf numFmtId="49" fontId="0" fillId="0" borderId="21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1" fontId="0" fillId="0" borderId="22" xfId="0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49" fontId="1" fillId="0" borderId="21" xfId="0" applyNumberFormat="1" applyFont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1" fontId="0" fillId="0" borderId="26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14" fontId="0" fillId="0" borderId="28" xfId="0" applyNumberFormat="1" applyBorder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4" fontId="0" fillId="5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0" fontId="0" fillId="0" borderId="9" xfId="0" applyBorder="1" applyAlignment="1">
      <alignment horizontal="left"/>
    </xf>
    <xf numFmtId="0" fontId="1" fillId="4" borderId="11" xfId="0" applyFont="1" applyFill="1" applyBorder="1" applyAlignment="1" applyProtection="1">
      <alignment horizontal="left"/>
      <protection locked="0"/>
    </xf>
    <xf numFmtId="0" fontId="7" fillId="4" borderId="12" xfId="0" applyFont="1" applyFill="1" applyBorder="1" applyAlignment="1" applyProtection="1">
      <alignment horizontal="left"/>
      <protection locked="0"/>
    </xf>
    <xf numFmtId="0" fontId="1" fillId="4" borderId="12" xfId="0" applyFont="1" applyFill="1" applyBorder="1" applyAlignment="1" applyProtection="1">
      <alignment horizontal="left"/>
      <protection locked="0"/>
    </xf>
    <xf numFmtId="0" fontId="0" fillId="4" borderId="12" xfId="0" applyFill="1" applyBorder="1" applyAlignment="1" applyProtection="1">
      <alignment horizontal="left"/>
      <protection locked="0"/>
    </xf>
    <xf numFmtId="0" fontId="1" fillId="0" borderId="0" xfId="0" applyFont="1" applyAlignment="1">
      <alignment horizontal="left"/>
    </xf>
    <xf numFmtId="0" fontId="8" fillId="0" borderId="11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4" borderId="14" xfId="0" applyFill="1" applyBorder="1" applyAlignment="1" applyProtection="1">
      <alignment horizontal="left"/>
      <protection locked="0"/>
    </xf>
    <xf numFmtId="44" fontId="9" fillId="6" borderId="0" xfId="1" applyNumberFormat="1" applyFont="1" applyFill="1" applyBorder="1" applyAlignment="1">
      <alignment horizontal="left" wrapText="1"/>
    </xf>
    <xf numFmtId="44" fontId="0" fillId="0" borderId="0" xfId="0" applyNumberFormat="1" applyAlignment="1">
      <alignment horizontal="left"/>
    </xf>
    <xf numFmtId="165" fontId="7" fillId="2" borderId="18" xfId="1" applyNumberFormat="1" applyFont="1" applyFill="1" applyBorder="1" applyAlignment="1">
      <alignment horizontal="left"/>
    </xf>
    <xf numFmtId="165" fontId="7" fillId="2" borderId="18" xfId="1" applyNumberFormat="1" applyFont="1" applyFill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7" fontId="6" fillId="3" borderId="9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165" fontId="0" fillId="0" borderId="30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4" fontId="0" fillId="0" borderId="31" xfId="0" applyNumberFormat="1" applyBorder="1" applyAlignment="1">
      <alignment horizontal="center"/>
    </xf>
    <xf numFmtId="14" fontId="0" fillId="0" borderId="32" xfId="0" applyNumberFormat="1" applyBorder="1" applyAlignment="1">
      <alignment horizontal="center"/>
    </xf>
    <xf numFmtId="1" fontId="9" fillId="6" borderId="15" xfId="0" applyNumberFormat="1" applyFont="1" applyFill="1" applyBorder="1" applyAlignment="1">
      <alignment horizontal="left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1476375</xdr:colOff>
          <xdr:row>42</xdr:row>
          <xdr:rowOff>152400</xdr:rowOff>
        </xdr:from>
        <xdr:to>
          <xdr:col>3</xdr:col>
          <xdr:colOff>352425</xdr:colOff>
          <xdr:row>46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hanks\Desktop\2020.10%20Price%20Lists\2020.10_Betts%20Industries%20Lamp%20Price%20List%20Looku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ARCH"/>
      <sheetName val="COMPLETE.protected"/>
      <sheetName val="COMPLETE.unprotect"/>
      <sheetName val="Sheet1"/>
    </sheetNames>
    <sheetDataSet>
      <sheetData sheetId="0"/>
      <sheetData sheetId="1"/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1" connectionId="16" xr16:uid="{6645B9DF-0FF3-4C8A-8B3E-E8DA4F3E0ED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8" connectionId="10" xr16:uid="{09B6B343-CF67-4FC4-BF5D-8AC8AC0CF51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2" connectionId="8" xr16:uid="{B76411E0-CD46-4B44-A1AA-7A9581FC015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3" connectionId="6" xr16:uid="{FB9A8583-14AE-4395-82B9-D40EA6FB5D7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2" connectionId="28" xr16:uid="{903600B8-3826-4301-A14D-BBE01D4F2EB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5" connectionId="14" xr16:uid="{570079CF-AA4F-44AB-A69A-A763CFEA7539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7" connectionId="4" xr16:uid="{7ECCC01D-F1C7-4705-9B3A-E26247A731C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" connectionId="2" xr16:uid="{9A06F9B2-026C-4ACE-AC4C-21731E28342B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4" connectionId="12" xr16:uid="{EA26E161-BEFA-4FB1-B663-4E2FE56C89CC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" connectionId="24" xr16:uid="{8CB33DF5-E2A9-4DFD-8526-571DDB213B94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5" connectionId="34" xr16:uid="{91062AB8-4D97-41FF-962A-F80C1871F37E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9" connectionId="32" xr16:uid="{BE27A202-D0D4-4510-9C12-8C6AB8B96168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3" connectionId="30" xr16:uid="{07708E77-8A6D-4002-8C58-FD185EF9E5E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6" connectionId="26" xr16:uid="{D3C672C4-E55C-43F2-9BF2-D6CEAB400241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6" connectionId="22" xr16:uid="{BFEC618C-A9AA-4A24-B49F-2A0C594C4E2F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0" connectionId="20" xr16:uid="{728A4F43-ED3E-4E50-9077-C8E6D072BE5D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4" connectionId="18" xr16:uid="{B4B798EE-7F6C-46D7-B15D-9C52A1EEFA7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5" connectionId="13" xr16:uid="{B0329CCC-BF6B-4FD3-BDD0-48D2603A1D1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0" connectionId="19" xr16:uid="{F51DD89D-7854-4D00-88F9-1C689E180B4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" connectionId="23" xr16:uid="{FD08AD98-BDAD-4652-9897-7052340742FB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3" connectionId="5" xr16:uid="{1F826421-FF8A-460F-9FA1-B6A3DDAADB5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8" connectionId="9" xr16:uid="{33F66DEA-5A2F-44FE-8D8B-CC3EAA224E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9" connectionId="31" xr16:uid="{B5177E11-852C-4641-91DD-43EC5BE5A6FA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4" connectionId="11" xr16:uid="{D1375EAE-15AF-4A22-A2D5-40D50536D1A3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" connectionId="1" xr16:uid="{3C00053C-B7B1-4A19-9489-F4F5D46946E7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2" connectionId="27" xr16:uid="{29ADA8E1-C249-461C-A17A-872B4F27D961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4" connectionId="17" xr16:uid="{6402E7F8-56EA-42BD-A7C4-A65E07A5EF79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2" connectionId="7" xr16:uid="{63B42270-D088-4327-9811-E9D18335998C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3" connectionId="29" xr16:uid="{B7D77594-BE88-45FD-B418-122EE47040B4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1" connectionId="15" xr16:uid="{80C78574-1682-43AB-BB2A-BCEB74DE81E3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6" connectionId="25" xr16:uid="{BAAE11C5-1E21-4C53-8BE8-CC7877488B3D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5" connectionId="33" xr16:uid="{B6B00F70-3D62-4F40-9E43-11A62C5D6069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16" connectionId="21" xr16:uid="{4E9D57CC-03F7-4009-A396-06997A569979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tts 01-03-12_7" connectionId="3" xr16:uid="{3E57B931-4EAB-4F08-8F73-53E00EA422E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4.xml"/><Relationship Id="rId13" Type="http://schemas.openxmlformats.org/officeDocument/2006/relationships/queryTable" Target="../queryTables/queryTable29.xml"/><Relationship Id="rId18" Type="http://schemas.openxmlformats.org/officeDocument/2006/relationships/queryTable" Target="../queryTables/queryTable34.xml"/><Relationship Id="rId3" Type="http://schemas.openxmlformats.org/officeDocument/2006/relationships/queryTable" Target="../queryTables/queryTable19.xml"/><Relationship Id="rId7" Type="http://schemas.openxmlformats.org/officeDocument/2006/relationships/queryTable" Target="../queryTables/queryTable23.xml"/><Relationship Id="rId12" Type="http://schemas.openxmlformats.org/officeDocument/2006/relationships/queryTable" Target="../queryTables/queryTable28.xml"/><Relationship Id="rId17" Type="http://schemas.openxmlformats.org/officeDocument/2006/relationships/queryTable" Target="../queryTables/queryTable33.xml"/><Relationship Id="rId2" Type="http://schemas.openxmlformats.org/officeDocument/2006/relationships/queryTable" Target="../queryTables/queryTable18.xml"/><Relationship Id="rId16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22.xml"/><Relationship Id="rId11" Type="http://schemas.openxmlformats.org/officeDocument/2006/relationships/queryTable" Target="../queryTables/queryTable27.xml"/><Relationship Id="rId5" Type="http://schemas.openxmlformats.org/officeDocument/2006/relationships/queryTable" Target="../queryTables/queryTable21.xml"/><Relationship Id="rId15" Type="http://schemas.openxmlformats.org/officeDocument/2006/relationships/queryTable" Target="../queryTables/queryTable31.xml"/><Relationship Id="rId10" Type="http://schemas.openxmlformats.org/officeDocument/2006/relationships/queryTable" Target="../queryTables/queryTable26.xml"/><Relationship Id="rId4" Type="http://schemas.openxmlformats.org/officeDocument/2006/relationships/queryTable" Target="../queryTables/queryTable20.xml"/><Relationship Id="rId9" Type="http://schemas.openxmlformats.org/officeDocument/2006/relationships/queryTable" Target="../queryTables/queryTable25.xml"/><Relationship Id="rId14" Type="http://schemas.openxmlformats.org/officeDocument/2006/relationships/queryTable" Target="../queryTables/queryTable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8CFF9-1DBB-4967-8BE8-44D8219E190E}">
  <sheetPr codeName="Sheet1">
    <tabColor rgb="FFFFFF00"/>
  </sheetPr>
  <dimension ref="A1:L72"/>
  <sheetViews>
    <sheetView tabSelected="1" workbookViewId="0">
      <selection activeCell="B3" sqref="B3:B42"/>
    </sheetView>
  </sheetViews>
  <sheetFormatPr defaultRowHeight="12.75" x14ac:dyDescent="0.2"/>
  <cols>
    <col min="1" max="1" width="5.28515625" style="15" customWidth="1"/>
    <col min="2" max="2" width="17.85546875" customWidth="1"/>
    <col min="3" max="3" width="38.28515625" customWidth="1"/>
    <col min="4" max="4" width="18.7109375" style="41" customWidth="1"/>
    <col min="5" max="5" width="24.28515625" style="41" bestFit="1" customWidth="1"/>
    <col min="6" max="7" width="24.28515625" style="41" customWidth="1"/>
    <col min="8" max="8" width="17.7109375" style="14" customWidth="1"/>
    <col min="9" max="9" width="16.42578125" bestFit="1" customWidth="1"/>
    <col min="257" max="257" width="5.28515625" customWidth="1"/>
    <col min="258" max="258" width="17.85546875" customWidth="1"/>
    <col min="259" max="259" width="38.28515625" customWidth="1"/>
    <col min="260" max="260" width="18.7109375" customWidth="1"/>
    <col min="261" max="261" width="24.28515625" bestFit="1" customWidth="1"/>
    <col min="262" max="263" width="24.28515625" customWidth="1"/>
    <col min="264" max="264" width="17.7109375" customWidth="1"/>
    <col min="265" max="265" width="16.42578125" bestFit="1" customWidth="1"/>
    <col min="513" max="513" width="5.28515625" customWidth="1"/>
    <col min="514" max="514" width="17.85546875" customWidth="1"/>
    <col min="515" max="515" width="38.28515625" customWidth="1"/>
    <col min="516" max="516" width="18.7109375" customWidth="1"/>
    <col min="517" max="517" width="24.28515625" bestFit="1" customWidth="1"/>
    <col min="518" max="519" width="24.28515625" customWidth="1"/>
    <col min="520" max="520" width="17.7109375" customWidth="1"/>
    <col min="521" max="521" width="16.42578125" bestFit="1" customWidth="1"/>
    <col min="769" max="769" width="5.28515625" customWidth="1"/>
    <col min="770" max="770" width="17.85546875" customWidth="1"/>
    <col min="771" max="771" width="38.28515625" customWidth="1"/>
    <col min="772" max="772" width="18.7109375" customWidth="1"/>
    <col min="773" max="773" width="24.28515625" bestFit="1" customWidth="1"/>
    <col min="774" max="775" width="24.28515625" customWidth="1"/>
    <col min="776" max="776" width="17.7109375" customWidth="1"/>
    <col min="777" max="777" width="16.42578125" bestFit="1" customWidth="1"/>
    <col min="1025" max="1025" width="5.28515625" customWidth="1"/>
    <col min="1026" max="1026" width="17.85546875" customWidth="1"/>
    <col min="1027" max="1027" width="38.28515625" customWidth="1"/>
    <col min="1028" max="1028" width="18.7109375" customWidth="1"/>
    <col min="1029" max="1029" width="24.28515625" bestFit="1" customWidth="1"/>
    <col min="1030" max="1031" width="24.28515625" customWidth="1"/>
    <col min="1032" max="1032" width="17.7109375" customWidth="1"/>
    <col min="1033" max="1033" width="16.42578125" bestFit="1" customWidth="1"/>
    <col min="1281" max="1281" width="5.28515625" customWidth="1"/>
    <col min="1282" max="1282" width="17.85546875" customWidth="1"/>
    <col min="1283" max="1283" width="38.28515625" customWidth="1"/>
    <col min="1284" max="1284" width="18.7109375" customWidth="1"/>
    <col min="1285" max="1285" width="24.28515625" bestFit="1" customWidth="1"/>
    <col min="1286" max="1287" width="24.28515625" customWidth="1"/>
    <col min="1288" max="1288" width="17.7109375" customWidth="1"/>
    <col min="1289" max="1289" width="16.42578125" bestFit="1" customWidth="1"/>
    <col min="1537" max="1537" width="5.28515625" customWidth="1"/>
    <col min="1538" max="1538" width="17.85546875" customWidth="1"/>
    <col min="1539" max="1539" width="38.28515625" customWidth="1"/>
    <col min="1540" max="1540" width="18.7109375" customWidth="1"/>
    <col min="1541" max="1541" width="24.28515625" bestFit="1" customWidth="1"/>
    <col min="1542" max="1543" width="24.28515625" customWidth="1"/>
    <col min="1544" max="1544" width="17.7109375" customWidth="1"/>
    <col min="1545" max="1545" width="16.42578125" bestFit="1" customWidth="1"/>
    <col min="1793" max="1793" width="5.28515625" customWidth="1"/>
    <col min="1794" max="1794" width="17.85546875" customWidth="1"/>
    <col min="1795" max="1795" width="38.28515625" customWidth="1"/>
    <col min="1796" max="1796" width="18.7109375" customWidth="1"/>
    <col min="1797" max="1797" width="24.28515625" bestFit="1" customWidth="1"/>
    <col min="1798" max="1799" width="24.28515625" customWidth="1"/>
    <col min="1800" max="1800" width="17.7109375" customWidth="1"/>
    <col min="1801" max="1801" width="16.42578125" bestFit="1" customWidth="1"/>
    <col min="2049" max="2049" width="5.28515625" customWidth="1"/>
    <col min="2050" max="2050" width="17.85546875" customWidth="1"/>
    <col min="2051" max="2051" width="38.28515625" customWidth="1"/>
    <col min="2052" max="2052" width="18.7109375" customWidth="1"/>
    <col min="2053" max="2053" width="24.28515625" bestFit="1" customWidth="1"/>
    <col min="2054" max="2055" width="24.28515625" customWidth="1"/>
    <col min="2056" max="2056" width="17.7109375" customWidth="1"/>
    <col min="2057" max="2057" width="16.42578125" bestFit="1" customWidth="1"/>
    <col min="2305" max="2305" width="5.28515625" customWidth="1"/>
    <col min="2306" max="2306" width="17.85546875" customWidth="1"/>
    <col min="2307" max="2307" width="38.28515625" customWidth="1"/>
    <col min="2308" max="2308" width="18.7109375" customWidth="1"/>
    <col min="2309" max="2309" width="24.28515625" bestFit="1" customWidth="1"/>
    <col min="2310" max="2311" width="24.28515625" customWidth="1"/>
    <col min="2312" max="2312" width="17.7109375" customWidth="1"/>
    <col min="2313" max="2313" width="16.42578125" bestFit="1" customWidth="1"/>
    <col min="2561" max="2561" width="5.28515625" customWidth="1"/>
    <col min="2562" max="2562" width="17.85546875" customWidth="1"/>
    <col min="2563" max="2563" width="38.28515625" customWidth="1"/>
    <col min="2564" max="2564" width="18.7109375" customWidth="1"/>
    <col min="2565" max="2565" width="24.28515625" bestFit="1" customWidth="1"/>
    <col min="2566" max="2567" width="24.28515625" customWidth="1"/>
    <col min="2568" max="2568" width="17.7109375" customWidth="1"/>
    <col min="2569" max="2569" width="16.42578125" bestFit="1" customWidth="1"/>
    <col min="2817" max="2817" width="5.28515625" customWidth="1"/>
    <col min="2818" max="2818" width="17.85546875" customWidth="1"/>
    <col min="2819" max="2819" width="38.28515625" customWidth="1"/>
    <col min="2820" max="2820" width="18.7109375" customWidth="1"/>
    <col min="2821" max="2821" width="24.28515625" bestFit="1" customWidth="1"/>
    <col min="2822" max="2823" width="24.28515625" customWidth="1"/>
    <col min="2824" max="2824" width="17.7109375" customWidth="1"/>
    <col min="2825" max="2825" width="16.42578125" bestFit="1" customWidth="1"/>
    <col min="3073" max="3073" width="5.28515625" customWidth="1"/>
    <col min="3074" max="3074" width="17.85546875" customWidth="1"/>
    <col min="3075" max="3075" width="38.28515625" customWidth="1"/>
    <col min="3076" max="3076" width="18.7109375" customWidth="1"/>
    <col min="3077" max="3077" width="24.28515625" bestFit="1" customWidth="1"/>
    <col min="3078" max="3079" width="24.28515625" customWidth="1"/>
    <col min="3080" max="3080" width="17.7109375" customWidth="1"/>
    <col min="3081" max="3081" width="16.42578125" bestFit="1" customWidth="1"/>
    <col min="3329" max="3329" width="5.28515625" customWidth="1"/>
    <col min="3330" max="3330" width="17.85546875" customWidth="1"/>
    <col min="3331" max="3331" width="38.28515625" customWidth="1"/>
    <col min="3332" max="3332" width="18.7109375" customWidth="1"/>
    <col min="3333" max="3333" width="24.28515625" bestFit="1" customWidth="1"/>
    <col min="3334" max="3335" width="24.28515625" customWidth="1"/>
    <col min="3336" max="3336" width="17.7109375" customWidth="1"/>
    <col min="3337" max="3337" width="16.42578125" bestFit="1" customWidth="1"/>
    <col min="3585" max="3585" width="5.28515625" customWidth="1"/>
    <col min="3586" max="3586" width="17.85546875" customWidth="1"/>
    <col min="3587" max="3587" width="38.28515625" customWidth="1"/>
    <col min="3588" max="3588" width="18.7109375" customWidth="1"/>
    <col min="3589" max="3589" width="24.28515625" bestFit="1" customWidth="1"/>
    <col min="3590" max="3591" width="24.28515625" customWidth="1"/>
    <col min="3592" max="3592" width="17.7109375" customWidth="1"/>
    <col min="3593" max="3593" width="16.42578125" bestFit="1" customWidth="1"/>
    <col min="3841" max="3841" width="5.28515625" customWidth="1"/>
    <col min="3842" max="3842" width="17.85546875" customWidth="1"/>
    <col min="3843" max="3843" width="38.28515625" customWidth="1"/>
    <col min="3844" max="3844" width="18.7109375" customWidth="1"/>
    <col min="3845" max="3845" width="24.28515625" bestFit="1" customWidth="1"/>
    <col min="3846" max="3847" width="24.28515625" customWidth="1"/>
    <col min="3848" max="3848" width="17.7109375" customWidth="1"/>
    <col min="3849" max="3849" width="16.42578125" bestFit="1" customWidth="1"/>
    <col min="4097" max="4097" width="5.28515625" customWidth="1"/>
    <col min="4098" max="4098" width="17.85546875" customWidth="1"/>
    <col min="4099" max="4099" width="38.28515625" customWidth="1"/>
    <col min="4100" max="4100" width="18.7109375" customWidth="1"/>
    <col min="4101" max="4101" width="24.28515625" bestFit="1" customWidth="1"/>
    <col min="4102" max="4103" width="24.28515625" customWidth="1"/>
    <col min="4104" max="4104" width="17.7109375" customWidth="1"/>
    <col min="4105" max="4105" width="16.42578125" bestFit="1" customWidth="1"/>
    <col min="4353" max="4353" width="5.28515625" customWidth="1"/>
    <col min="4354" max="4354" width="17.85546875" customWidth="1"/>
    <col min="4355" max="4355" width="38.28515625" customWidth="1"/>
    <col min="4356" max="4356" width="18.7109375" customWidth="1"/>
    <col min="4357" max="4357" width="24.28515625" bestFit="1" customWidth="1"/>
    <col min="4358" max="4359" width="24.28515625" customWidth="1"/>
    <col min="4360" max="4360" width="17.7109375" customWidth="1"/>
    <col min="4361" max="4361" width="16.42578125" bestFit="1" customWidth="1"/>
    <col min="4609" max="4609" width="5.28515625" customWidth="1"/>
    <col min="4610" max="4610" width="17.85546875" customWidth="1"/>
    <col min="4611" max="4611" width="38.28515625" customWidth="1"/>
    <col min="4612" max="4612" width="18.7109375" customWidth="1"/>
    <col min="4613" max="4613" width="24.28515625" bestFit="1" customWidth="1"/>
    <col min="4614" max="4615" width="24.28515625" customWidth="1"/>
    <col min="4616" max="4616" width="17.7109375" customWidth="1"/>
    <col min="4617" max="4617" width="16.42578125" bestFit="1" customWidth="1"/>
    <col min="4865" max="4865" width="5.28515625" customWidth="1"/>
    <col min="4866" max="4866" width="17.85546875" customWidth="1"/>
    <col min="4867" max="4867" width="38.28515625" customWidth="1"/>
    <col min="4868" max="4868" width="18.7109375" customWidth="1"/>
    <col min="4869" max="4869" width="24.28515625" bestFit="1" customWidth="1"/>
    <col min="4870" max="4871" width="24.28515625" customWidth="1"/>
    <col min="4872" max="4872" width="17.7109375" customWidth="1"/>
    <col min="4873" max="4873" width="16.42578125" bestFit="1" customWidth="1"/>
    <col min="5121" max="5121" width="5.28515625" customWidth="1"/>
    <col min="5122" max="5122" width="17.85546875" customWidth="1"/>
    <col min="5123" max="5123" width="38.28515625" customWidth="1"/>
    <col min="5124" max="5124" width="18.7109375" customWidth="1"/>
    <col min="5125" max="5125" width="24.28515625" bestFit="1" customWidth="1"/>
    <col min="5126" max="5127" width="24.28515625" customWidth="1"/>
    <col min="5128" max="5128" width="17.7109375" customWidth="1"/>
    <col min="5129" max="5129" width="16.42578125" bestFit="1" customWidth="1"/>
    <col min="5377" max="5377" width="5.28515625" customWidth="1"/>
    <col min="5378" max="5378" width="17.85546875" customWidth="1"/>
    <col min="5379" max="5379" width="38.28515625" customWidth="1"/>
    <col min="5380" max="5380" width="18.7109375" customWidth="1"/>
    <col min="5381" max="5381" width="24.28515625" bestFit="1" customWidth="1"/>
    <col min="5382" max="5383" width="24.28515625" customWidth="1"/>
    <col min="5384" max="5384" width="17.7109375" customWidth="1"/>
    <col min="5385" max="5385" width="16.42578125" bestFit="1" customWidth="1"/>
    <col min="5633" max="5633" width="5.28515625" customWidth="1"/>
    <col min="5634" max="5634" width="17.85546875" customWidth="1"/>
    <col min="5635" max="5635" width="38.28515625" customWidth="1"/>
    <col min="5636" max="5636" width="18.7109375" customWidth="1"/>
    <col min="5637" max="5637" width="24.28515625" bestFit="1" customWidth="1"/>
    <col min="5638" max="5639" width="24.28515625" customWidth="1"/>
    <col min="5640" max="5640" width="17.7109375" customWidth="1"/>
    <col min="5641" max="5641" width="16.42578125" bestFit="1" customWidth="1"/>
    <col min="5889" max="5889" width="5.28515625" customWidth="1"/>
    <col min="5890" max="5890" width="17.85546875" customWidth="1"/>
    <col min="5891" max="5891" width="38.28515625" customWidth="1"/>
    <col min="5892" max="5892" width="18.7109375" customWidth="1"/>
    <col min="5893" max="5893" width="24.28515625" bestFit="1" customWidth="1"/>
    <col min="5894" max="5895" width="24.28515625" customWidth="1"/>
    <col min="5896" max="5896" width="17.7109375" customWidth="1"/>
    <col min="5897" max="5897" width="16.42578125" bestFit="1" customWidth="1"/>
    <col min="6145" max="6145" width="5.28515625" customWidth="1"/>
    <col min="6146" max="6146" width="17.85546875" customWidth="1"/>
    <col min="6147" max="6147" width="38.28515625" customWidth="1"/>
    <col min="6148" max="6148" width="18.7109375" customWidth="1"/>
    <col min="6149" max="6149" width="24.28515625" bestFit="1" customWidth="1"/>
    <col min="6150" max="6151" width="24.28515625" customWidth="1"/>
    <col min="6152" max="6152" width="17.7109375" customWidth="1"/>
    <col min="6153" max="6153" width="16.42578125" bestFit="1" customWidth="1"/>
    <col min="6401" max="6401" width="5.28515625" customWidth="1"/>
    <col min="6402" max="6402" width="17.85546875" customWidth="1"/>
    <col min="6403" max="6403" width="38.28515625" customWidth="1"/>
    <col min="6404" max="6404" width="18.7109375" customWidth="1"/>
    <col min="6405" max="6405" width="24.28515625" bestFit="1" customWidth="1"/>
    <col min="6406" max="6407" width="24.28515625" customWidth="1"/>
    <col min="6408" max="6408" width="17.7109375" customWidth="1"/>
    <col min="6409" max="6409" width="16.42578125" bestFit="1" customWidth="1"/>
    <col min="6657" max="6657" width="5.28515625" customWidth="1"/>
    <col min="6658" max="6658" width="17.85546875" customWidth="1"/>
    <col min="6659" max="6659" width="38.28515625" customWidth="1"/>
    <col min="6660" max="6660" width="18.7109375" customWidth="1"/>
    <col min="6661" max="6661" width="24.28515625" bestFit="1" customWidth="1"/>
    <col min="6662" max="6663" width="24.28515625" customWidth="1"/>
    <col min="6664" max="6664" width="17.7109375" customWidth="1"/>
    <col min="6665" max="6665" width="16.42578125" bestFit="1" customWidth="1"/>
    <col min="6913" max="6913" width="5.28515625" customWidth="1"/>
    <col min="6914" max="6914" width="17.85546875" customWidth="1"/>
    <col min="6915" max="6915" width="38.28515625" customWidth="1"/>
    <col min="6916" max="6916" width="18.7109375" customWidth="1"/>
    <col min="6917" max="6917" width="24.28515625" bestFit="1" customWidth="1"/>
    <col min="6918" max="6919" width="24.28515625" customWidth="1"/>
    <col min="6920" max="6920" width="17.7109375" customWidth="1"/>
    <col min="6921" max="6921" width="16.42578125" bestFit="1" customWidth="1"/>
    <col min="7169" max="7169" width="5.28515625" customWidth="1"/>
    <col min="7170" max="7170" width="17.85546875" customWidth="1"/>
    <col min="7171" max="7171" width="38.28515625" customWidth="1"/>
    <col min="7172" max="7172" width="18.7109375" customWidth="1"/>
    <col min="7173" max="7173" width="24.28515625" bestFit="1" customWidth="1"/>
    <col min="7174" max="7175" width="24.28515625" customWidth="1"/>
    <col min="7176" max="7176" width="17.7109375" customWidth="1"/>
    <col min="7177" max="7177" width="16.42578125" bestFit="1" customWidth="1"/>
    <col min="7425" max="7425" width="5.28515625" customWidth="1"/>
    <col min="7426" max="7426" width="17.85546875" customWidth="1"/>
    <col min="7427" max="7427" width="38.28515625" customWidth="1"/>
    <col min="7428" max="7428" width="18.7109375" customWidth="1"/>
    <col min="7429" max="7429" width="24.28515625" bestFit="1" customWidth="1"/>
    <col min="7430" max="7431" width="24.28515625" customWidth="1"/>
    <col min="7432" max="7432" width="17.7109375" customWidth="1"/>
    <col min="7433" max="7433" width="16.42578125" bestFit="1" customWidth="1"/>
    <col min="7681" max="7681" width="5.28515625" customWidth="1"/>
    <col min="7682" max="7682" width="17.85546875" customWidth="1"/>
    <col min="7683" max="7683" width="38.28515625" customWidth="1"/>
    <col min="7684" max="7684" width="18.7109375" customWidth="1"/>
    <col min="7685" max="7685" width="24.28515625" bestFit="1" customWidth="1"/>
    <col min="7686" max="7687" width="24.28515625" customWidth="1"/>
    <col min="7688" max="7688" width="17.7109375" customWidth="1"/>
    <col min="7689" max="7689" width="16.42578125" bestFit="1" customWidth="1"/>
    <col min="7937" max="7937" width="5.28515625" customWidth="1"/>
    <col min="7938" max="7938" width="17.85546875" customWidth="1"/>
    <col min="7939" max="7939" width="38.28515625" customWidth="1"/>
    <col min="7940" max="7940" width="18.7109375" customWidth="1"/>
    <col min="7941" max="7941" width="24.28515625" bestFit="1" customWidth="1"/>
    <col min="7942" max="7943" width="24.28515625" customWidth="1"/>
    <col min="7944" max="7944" width="17.7109375" customWidth="1"/>
    <col min="7945" max="7945" width="16.42578125" bestFit="1" customWidth="1"/>
    <col min="8193" max="8193" width="5.28515625" customWidth="1"/>
    <col min="8194" max="8194" width="17.85546875" customWidth="1"/>
    <col min="8195" max="8195" width="38.28515625" customWidth="1"/>
    <col min="8196" max="8196" width="18.7109375" customWidth="1"/>
    <col min="8197" max="8197" width="24.28515625" bestFit="1" customWidth="1"/>
    <col min="8198" max="8199" width="24.28515625" customWidth="1"/>
    <col min="8200" max="8200" width="17.7109375" customWidth="1"/>
    <col min="8201" max="8201" width="16.42578125" bestFit="1" customWidth="1"/>
    <col min="8449" max="8449" width="5.28515625" customWidth="1"/>
    <col min="8450" max="8450" width="17.85546875" customWidth="1"/>
    <col min="8451" max="8451" width="38.28515625" customWidth="1"/>
    <col min="8452" max="8452" width="18.7109375" customWidth="1"/>
    <col min="8453" max="8453" width="24.28515625" bestFit="1" customWidth="1"/>
    <col min="8454" max="8455" width="24.28515625" customWidth="1"/>
    <col min="8456" max="8456" width="17.7109375" customWidth="1"/>
    <col min="8457" max="8457" width="16.42578125" bestFit="1" customWidth="1"/>
    <col min="8705" max="8705" width="5.28515625" customWidth="1"/>
    <col min="8706" max="8706" width="17.85546875" customWidth="1"/>
    <col min="8707" max="8707" width="38.28515625" customWidth="1"/>
    <col min="8708" max="8708" width="18.7109375" customWidth="1"/>
    <col min="8709" max="8709" width="24.28515625" bestFit="1" customWidth="1"/>
    <col min="8710" max="8711" width="24.28515625" customWidth="1"/>
    <col min="8712" max="8712" width="17.7109375" customWidth="1"/>
    <col min="8713" max="8713" width="16.42578125" bestFit="1" customWidth="1"/>
    <col min="8961" max="8961" width="5.28515625" customWidth="1"/>
    <col min="8962" max="8962" width="17.85546875" customWidth="1"/>
    <col min="8963" max="8963" width="38.28515625" customWidth="1"/>
    <col min="8964" max="8964" width="18.7109375" customWidth="1"/>
    <col min="8965" max="8965" width="24.28515625" bestFit="1" customWidth="1"/>
    <col min="8966" max="8967" width="24.28515625" customWidth="1"/>
    <col min="8968" max="8968" width="17.7109375" customWidth="1"/>
    <col min="8969" max="8969" width="16.42578125" bestFit="1" customWidth="1"/>
    <col min="9217" max="9217" width="5.28515625" customWidth="1"/>
    <col min="9218" max="9218" width="17.85546875" customWidth="1"/>
    <col min="9219" max="9219" width="38.28515625" customWidth="1"/>
    <col min="9220" max="9220" width="18.7109375" customWidth="1"/>
    <col min="9221" max="9221" width="24.28515625" bestFit="1" customWidth="1"/>
    <col min="9222" max="9223" width="24.28515625" customWidth="1"/>
    <col min="9224" max="9224" width="17.7109375" customWidth="1"/>
    <col min="9225" max="9225" width="16.42578125" bestFit="1" customWidth="1"/>
    <col min="9473" max="9473" width="5.28515625" customWidth="1"/>
    <col min="9474" max="9474" width="17.85546875" customWidth="1"/>
    <col min="9475" max="9475" width="38.28515625" customWidth="1"/>
    <col min="9476" max="9476" width="18.7109375" customWidth="1"/>
    <col min="9477" max="9477" width="24.28515625" bestFit="1" customWidth="1"/>
    <col min="9478" max="9479" width="24.28515625" customWidth="1"/>
    <col min="9480" max="9480" width="17.7109375" customWidth="1"/>
    <col min="9481" max="9481" width="16.42578125" bestFit="1" customWidth="1"/>
    <col min="9729" max="9729" width="5.28515625" customWidth="1"/>
    <col min="9730" max="9730" width="17.85546875" customWidth="1"/>
    <col min="9731" max="9731" width="38.28515625" customWidth="1"/>
    <col min="9732" max="9732" width="18.7109375" customWidth="1"/>
    <col min="9733" max="9733" width="24.28515625" bestFit="1" customWidth="1"/>
    <col min="9734" max="9735" width="24.28515625" customWidth="1"/>
    <col min="9736" max="9736" width="17.7109375" customWidth="1"/>
    <col min="9737" max="9737" width="16.42578125" bestFit="1" customWidth="1"/>
    <col min="9985" max="9985" width="5.28515625" customWidth="1"/>
    <col min="9986" max="9986" width="17.85546875" customWidth="1"/>
    <col min="9987" max="9987" width="38.28515625" customWidth="1"/>
    <col min="9988" max="9988" width="18.7109375" customWidth="1"/>
    <col min="9989" max="9989" width="24.28515625" bestFit="1" customWidth="1"/>
    <col min="9990" max="9991" width="24.28515625" customWidth="1"/>
    <col min="9992" max="9992" width="17.7109375" customWidth="1"/>
    <col min="9993" max="9993" width="16.42578125" bestFit="1" customWidth="1"/>
    <col min="10241" max="10241" width="5.28515625" customWidth="1"/>
    <col min="10242" max="10242" width="17.85546875" customWidth="1"/>
    <col min="10243" max="10243" width="38.28515625" customWidth="1"/>
    <col min="10244" max="10244" width="18.7109375" customWidth="1"/>
    <col min="10245" max="10245" width="24.28515625" bestFit="1" customWidth="1"/>
    <col min="10246" max="10247" width="24.28515625" customWidth="1"/>
    <col min="10248" max="10248" width="17.7109375" customWidth="1"/>
    <col min="10249" max="10249" width="16.42578125" bestFit="1" customWidth="1"/>
    <col min="10497" max="10497" width="5.28515625" customWidth="1"/>
    <col min="10498" max="10498" width="17.85546875" customWidth="1"/>
    <col min="10499" max="10499" width="38.28515625" customWidth="1"/>
    <col min="10500" max="10500" width="18.7109375" customWidth="1"/>
    <col min="10501" max="10501" width="24.28515625" bestFit="1" customWidth="1"/>
    <col min="10502" max="10503" width="24.28515625" customWidth="1"/>
    <col min="10504" max="10504" width="17.7109375" customWidth="1"/>
    <col min="10505" max="10505" width="16.42578125" bestFit="1" customWidth="1"/>
    <col min="10753" max="10753" width="5.28515625" customWidth="1"/>
    <col min="10754" max="10754" width="17.85546875" customWidth="1"/>
    <col min="10755" max="10755" width="38.28515625" customWidth="1"/>
    <col min="10756" max="10756" width="18.7109375" customWidth="1"/>
    <col min="10757" max="10757" width="24.28515625" bestFit="1" customWidth="1"/>
    <col min="10758" max="10759" width="24.28515625" customWidth="1"/>
    <col min="10760" max="10760" width="17.7109375" customWidth="1"/>
    <col min="10761" max="10761" width="16.42578125" bestFit="1" customWidth="1"/>
    <col min="11009" max="11009" width="5.28515625" customWidth="1"/>
    <col min="11010" max="11010" width="17.85546875" customWidth="1"/>
    <col min="11011" max="11011" width="38.28515625" customWidth="1"/>
    <col min="11012" max="11012" width="18.7109375" customWidth="1"/>
    <col min="11013" max="11013" width="24.28515625" bestFit="1" customWidth="1"/>
    <col min="11014" max="11015" width="24.28515625" customWidth="1"/>
    <col min="11016" max="11016" width="17.7109375" customWidth="1"/>
    <col min="11017" max="11017" width="16.42578125" bestFit="1" customWidth="1"/>
    <col min="11265" max="11265" width="5.28515625" customWidth="1"/>
    <col min="11266" max="11266" width="17.85546875" customWidth="1"/>
    <col min="11267" max="11267" width="38.28515625" customWidth="1"/>
    <col min="11268" max="11268" width="18.7109375" customWidth="1"/>
    <col min="11269" max="11269" width="24.28515625" bestFit="1" customWidth="1"/>
    <col min="11270" max="11271" width="24.28515625" customWidth="1"/>
    <col min="11272" max="11272" width="17.7109375" customWidth="1"/>
    <col min="11273" max="11273" width="16.42578125" bestFit="1" customWidth="1"/>
    <col min="11521" max="11521" width="5.28515625" customWidth="1"/>
    <col min="11522" max="11522" width="17.85546875" customWidth="1"/>
    <col min="11523" max="11523" width="38.28515625" customWidth="1"/>
    <col min="11524" max="11524" width="18.7109375" customWidth="1"/>
    <col min="11525" max="11525" width="24.28515625" bestFit="1" customWidth="1"/>
    <col min="11526" max="11527" width="24.28515625" customWidth="1"/>
    <col min="11528" max="11528" width="17.7109375" customWidth="1"/>
    <col min="11529" max="11529" width="16.42578125" bestFit="1" customWidth="1"/>
    <col min="11777" max="11777" width="5.28515625" customWidth="1"/>
    <col min="11778" max="11778" width="17.85546875" customWidth="1"/>
    <col min="11779" max="11779" width="38.28515625" customWidth="1"/>
    <col min="11780" max="11780" width="18.7109375" customWidth="1"/>
    <col min="11781" max="11781" width="24.28515625" bestFit="1" customWidth="1"/>
    <col min="11782" max="11783" width="24.28515625" customWidth="1"/>
    <col min="11784" max="11784" width="17.7109375" customWidth="1"/>
    <col min="11785" max="11785" width="16.42578125" bestFit="1" customWidth="1"/>
    <col min="12033" max="12033" width="5.28515625" customWidth="1"/>
    <col min="12034" max="12034" width="17.85546875" customWidth="1"/>
    <col min="12035" max="12035" width="38.28515625" customWidth="1"/>
    <col min="12036" max="12036" width="18.7109375" customWidth="1"/>
    <col min="12037" max="12037" width="24.28515625" bestFit="1" customWidth="1"/>
    <col min="12038" max="12039" width="24.28515625" customWidth="1"/>
    <col min="12040" max="12040" width="17.7109375" customWidth="1"/>
    <col min="12041" max="12041" width="16.42578125" bestFit="1" customWidth="1"/>
    <col min="12289" max="12289" width="5.28515625" customWidth="1"/>
    <col min="12290" max="12290" width="17.85546875" customWidth="1"/>
    <col min="12291" max="12291" width="38.28515625" customWidth="1"/>
    <col min="12292" max="12292" width="18.7109375" customWidth="1"/>
    <col min="12293" max="12293" width="24.28515625" bestFit="1" customWidth="1"/>
    <col min="12294" max="12295" width="24.28515625" customWidth="1"/>
    <col min="12296" max="12296" width="17.7109375" customWidth="1"/>
    <col min="12297" max="12297" width="16.42578125" bestFit="1" customWidth="1"/>
    <col min="12545" max="12545" width="5.28515625" customWidth="1"/>
    <col min="12546" max="12546" width="17.85546875" customWidth="1"/>
    <col min="12547" max="12547" width="38.28515625" customWidth="1"/>
    <col min="12548" max="12548" width="18.7109375" customWidth="1"/>
    <col min="12549" max="12549" width="24.28515625" bestFit="1" customWidth="1"/>
    <col min="12550" max="12551" width="24.28515625" customWidth="1"/>
    <col min="12552" max="12552" width="17.7109375" customWidth="1"/>
    <col min="12553" max="12553" width="16.42578125" bestFit="1" customWidth="1"/>
    <col min="12801" max="12801" width="5.28515625" customWidth="1"/>
    <col min="12802" max="12802" width="17.85546875" customWidth="1"/>
    <col min="12803" max="12803" width="38.28515625" customWidth="1"/>
    <col min="12804" max="12804" width="18.7109375" customWidth="1"/>
    <col min="12805" max="12805" width="24.28515625" bestFit="1" customWidth="1"/>
    <col min="12806" max="12807" width="24.28515625" customWidth="1"/>
    <col min="12808" max="12808" width="17.7109375" customWidth="1"/>
    <col min="12809" max="12809" width="16.42578125" bestFit="1" customWidth="1"/>
    <col min="13057" max="13057" width="5.28515625" customWidth="1"/>
    <col min="13058" max="13058" width="17.85546875" customWidth="1"/>
    <col min="13059" max="13059" width="38.28515625" customWidth="1"/>
    <col min="13060" max="13060" width="18.7109375" customWidth="1"/>
    <col min="13061" max="13061" width="24.28515625" bestFit="1" customWidth="1"/>
    <col min="13062" max="13063" width="24.28515625" customWidth="1"/>
    <col min="13064" max="13064" width="17.7109375" customWidth="1"/>
    <col min="13065" max="13065" width="16.42578125" bestFit="1" customWidth="1"/>
    <col min="13313" max="13313" width="5.28515625" customWidth="1"/>
    <col min="13314" max="13314" width="17.85546875" customWidth="1"/>
    <col min="13315" max="13315" width="38.28515625" customWidth="1"/>
    <col min="13316" max="13316" width="18.7109375" customWidth="1"/>
    <col min="13317" max="13317" width="24.28515625" bestFit="1" customWidth="1"/>
    <col min="13318" max="13319" width="24.28515625" customWidth="1"/>
    <col min="13320" max="13320" width="17.7109375" customWidth="1"/>
    <col min="13321" max="13321" width="16.42578125" bestFit="1" customWidth="1"/>
    <col min="13569" max="13569" width="5.28515625" customWidth="1"/>
    <col min="13570" max="13570" width="17.85546875" customWidth="1"/>
    <col min="13571" max="13571" width="38.28515625" customWidth="1"/>
    <col min="13572" max="13572" width="18.7109375" customWidth="1"/>
    <col min="13573" max="13573" width="24.28515625" bestFit="1" customWidth="1"/>
    <col min="13574" max="13575" width="24.28515625" customWidth="1"/>
    <col min="13576" max="13576" width="17.7109375" customWidth="1"/>
    <col min="13577" max="13577" width="16.42578125" bestFit="1" customWidth="1"/>
    <col min="13825" max="13825" width="5.28515625" customWidth="1"/>
    <col min="13826" max="13826" width="17.85546875" customWidth="1"/>
    <col min="13827" max="13827" width="38.28515625" customWidth="1"/>
    <col min="13828" max="13828" width="18.7109375" customWidth="1"/>
    <col min="13829" max="13829" width="24.28515625" bestFit="1" customWidth="1"/>
    <col min="13830" max="13831" width="24.28515625" customWidth="1"/>
    <col min="13832" max="13832" width="17.7109375" customWidth="1"/>
    <col min="13833" max="13833" width="16.42578125" bestFit="1" customWidth="1"/>
    <col min="14081" max="14081" width="5.28515625" customWidth="1"/>
    <col min="14082" max="14082" width="17.85546875" customWidth="1"/>
    <col min="14083" max="14083" width="38.28515625" customWidth="1"/>
    <col min="14084" max="14084" width="18.7109375" customWidth="1"/>
    <col min="14085" max="14085" width="24.28515625" bestFit="1" customWidth="1"/>
    <col min="14086" max="14087" width="24.28515625" customWidth="1"/>
    <col min="14088" max="14088" width="17.7109375" customWidth="1"/>
    <col min="14089" max="14089" width="16.42578125" bestFit="1" customWidth="1"/>
    <col min="14337" max="14337" width="5.28515625" customWidth="1"/>
    <col min="14338" max="14338" width="17.85546875" customWidth="1"/>
    <col min="14339" max="14339" width="38.28515625" customWidth="1"/>
    <col min="14340" max="14340" width="18.7109375" customWidth="1"/>
    <col min="14341" max="14341" width="24.28515625" bestFit="1" customWidth="1"/>
    <col min="14342" max="14343" width="24.28515625" customWidth="1"/>
    <col min="14344" max="14344" width="17.7109375" customWidth="1"/>
    <col min="14345" max="14345" width="16.42578125" bestFit="1" customWidth="1"/>
    <col min="14593" max="14593" width="5.28515625" customWidth="1"/>
    <col min="14594" max="14594" width="17.85546875" customWidth="1"/>
    <col min="14595" max="14595" width="38.28515625" customWidth="1"/>
    <col min="14596" max="14596" width="18.7109375" customWidth="1"/>
    <col min="14597" max="14597" width="24.28515625" bestFit="1" customWidth="1"/>
    <col min="14598" max="14599" width="24.28515625" customWidth="1"/>
    <col min="14600" max="14600" width="17.7109375" customWidth="1"/>
    <col min="14601" max="14601" width="16.42578125" bestFit="1" customWidth="1"/>
    <col min="14849" max="14849" width="5.28515625" customWidth="1"/>
    <col min="14850" max="14850" width="17.85546875" customWidth="1"/>
    <col min="14851" max="14851" width="38.28515625" customWidth="1"/>
    <col min="14852" max="14852" width="18.7109375" customWidth="1"/>
    <col min="14853" max="14853" width="24.28515625" bestFit="1" customWidth="1"/>
    <col min="14854" max="14855" width="24.28515625" customWidth="1"/>
    <col min="14856" max="14856" width="17.7109375" customWidth="1"/>
    <col min="14857" max="14857" width="16.42578125" bestFit="1" customWidth="1"/>
    <col min="15105" max="15105" width="5.28515625" customWidth="1"/>
    <col min="15106" max="15106" width="17.85546875" customWidth="1"/>
    <col min="15107" max="15107" width="38.28515625" customWidth="1"/>
    <col min="15108" max="15108" width="18.7109375" customWidth="1"/>
    <col min="15109" max="15109" width="24.28515625" bestFit="1" customWidth="1"/>
    <col min="15110" max="15111" width="24.28515625" customWidth="1"/>
    <col min="15112" max="15112" width="17.7109375" customWidth="1"/>
    <col min="15113" max="15113" width="16.42578125" bestFit="1" customWidth="1"/>
    <col min="15361" max="15361" width="5.28515625" customWidth="1"/>
    <col min="15362" max="15362" width="17.85546875" customWidth="1"/>
    <col min="15363" max="15363" width="38.28515625" customWidth="1"/>
    <col min="15364" max="15364" width="18.7109375" customWidth="1"/>
    <col min="15365" max="15365" width="24.28515625" bestFit="1" customWidth="1"/>
    <col min="15366" max="15367" width="24.28515625" customWidth="1"/>
    <col min="15368" max="15368" width="17.7109375" customWidth="1"/>
    <col min="15369" max="15369" width="16.42578125" bestFit="1" customWidth="1"/>
    <col min="15617" max="15617" width="5.28515625" customWidth="1"/>
    <col min="15618" max="15618" width="17.85546875" customWidth="1"/>
    <col min="15619" max="15619" width="38.28515625" customWidth="1"/>
    <col min="15620" max="15620" width="18.7109375" customWidth="1"/>
    <col min="15621" max="15621" width="24.28515625" bestFit="1" customWidth="1"/>
    <col min="15622" max="15623" width="24.28515625" customWidth="1"/>
    <col min="15624" max="15624" width="17.7109375" customWidth="1"/>
    <col min="15625" max="15625" width="16.42578125" bestFit="1" customWidth="1"/>
    <col min="15873" max="15873" width="5.28515625" customWidth="1"/>
    <col min="15874" max="15874" width="17.85546875" customWidth="1"/>
    <col min="15875" max="15875" width="38.28515625" customWidth="1"/>
    <col min="15876" max="15876" width="18.7109375" customWidth="1"/>
    <col min="15877" max="15877" width="24.28515625" bestFit="1" customWidth="1"/>
    <col min="15878" max="15879" width="24.28515625" customWidth="1"/>
    <col min="15880" max="15880" width="17.7109375" customWidth="1"/>
    <col min="15881" max="15881" width="16.42578125" bestFit="1" customWidth="1"/>
    <col min="16129" max="16129" width="5.28515625" customWidth="1"/>
    <col min="16130" max="16130" width="17.85546875" customWidth="1"/>
    <col min="16131" max="16131" width="38.28515625" customWidth="1"/>
    <col min="16132" max="16132" width="18.7109375" customWidth="1"/>
    <col min="16133" max="16133" width="24.28515625" bestFit="1" customWidth="1"/>
    <col min="16134" max="16135" width="24.28515625" customWidth="1"/>
    <col min="16136" max="16136" width="17.7109375" customWidth="1"/>
    <col min="16137" max="16137" width="16.42578125" bestFit="1" customWidth="1"/>
  </cols>
  <sheetData>
    <row r="1" spans="1:12" ht="72" customHeight="1" thickBot="1" x14ac:dyDescent="0.25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12" s="5" customFormat="1" ht="30" customHeight="1" thickBot="1" x14ac:dyDescent="0.25">
      <c r="A2" s="61" t="s">
        <v>1</v>
      </c>
      <c r="B2" s="62"/>
      <c r="C2" s="1" t="s">
        <v>2</v>
      </c>
      <c r="D2" s="2" t="s">
        <v>3</v>
      </c>
      <c r="E2" s="2" t="s">
        <v>4</v>
      </c>
      <c r="F2" s="3" t="s">
        <v>5</v>
      </c>
      <c r="G2" s="3" t="s">
        <v>6</v>
      </c>
      <c r="H2" s="4" t="s">
        <v>7</v>
      </c>
      <c r="I2" s="4" t="s">
        <v>7</v>
      </c>
    </row>
    <row r="3" spans="1:12" ht="15.75" x14ac:dyDescent="0.25">
      <c r="A3" s="6">
        <v>1</v>
      </c>
      <c r="B3" s="42"/>
      <c r="C3" s="7" t="str">
        <f>IF(B3="","",VLOOKUP(B3,'COMPLETE.protected'!$A$3:$H$1191,2,FALSE))</f>
        <v/>
      </c>
      <c r="D3" s="57" t="str">
        <f>IF(B3="","",VLOOKUP(B3,'COMPLETE.protected'!$A$3:$H$1191,3,FALSE))</f>
        <v/>
      </c>
      <c r="E3" s="57" t="str">
        <f>IF(B3="","",VLOOKUP(B3,'COMPLETE.protected'!$A$3:$H$1191,4,FALSE))</f>
        <v/>
      </c>
      <c r="F3" s="8" t="str">
        <f>IF(B3="","",VLOOKUP(B3,'COMPLETE.protected'!$A$3:$H$1191,5,FALSE))</f>
        <v/>
      </c>
      <c r="G3" s="57" t="str">
        <f>IF(B3="","",VLOOKUP(B3,'COMPLETE.protected'!$A$3:$H$1191,6,FALSE))</f>
        <v/>
      </c>
      <c r="H3" s="9" t="str">
        <f>IF(B3="","",VLOOKUP(B3,'COMPLETE.protected'!$A$3:$H$1191,7,FALSE))</f>
        <v/>
      </c>
      <c r="I3" s="9" t="str">
        <f>IF(B3="","",VLOOKUP(B3,'COMPLETE.protected'!$A$3:$H$1191,8,FALSE))</f>
        <v/>
      </c>
    </row>
    <row r="4" spans="1:12" ht="15.75" x14ac:dyDescent="0.25">
      <c r="A4" s="10">
        <v>2</v>
      </c>
      <c r="B4" s="43"/>
      <c r="C4" s="7" t="str">
        <f>IF(B4="","",VLOOKUP(B4,'COMPLETE.protected'!$A$3:$H$1191,2,FALSE))</f>
        <v/>
      </c>
      <c r="D4" s="57" t="str">
        <f>IF(B4="","",VLOOKUP(B4,'COMPLETE.protected'!$A$3:$H$1191,3,FALSE))</f>
        <v/>
      </c>
      <c r="E4" s="57" t="str">
        <f>IF(B4="","",VLOOKUP(B4,'COMPLETE.protected'!$A$3:$H$1191,4,FALSE))</f>
        <v/>
      </c>
      <c r="F4" s="8" t="str">
        <f>IF(B4="","",VLOOKUP(B4,'COMPLETE.protected'!$A$3:$H$1191,5,FALSE))</f>
        <v/>
      </c>
      <c r="G4" s="57" t="str">
        <f>IF(B4="","",VLOOKUP(B4,'COMPLETE.protected'!$A$3:$H$1191,6,FALSE))</f>
        <v/>
      </c>
      <c r="H4" s="9" t="str">
        <f>IF(B4="","",VLOOKUP(B4,'COMPLETE.protected'!$A$3:$H$1191,7,FALSE))</f>
        <v/>
      </c>
      <c r="I4" s="9" t="str">
        <f>IF(B4="","",VLOOKUP(B4,'COMPLETE.protected'!$A$3:$H$1191,8,FALSE))</f>
        <v/>
      </c>
    </row>
    <row r="5" spans="1:12" ht="15.75" x14ac:dyDescent="0.25">
      <c r="A5" s="10">
        <v>3</v>
      </c>
      <c r="B5" s="44"/>
      <c r="C5" s="7" t="str">
        <f>IF(B5="","",VLOOKUP(B5,'COMPLETE.protected'!$A$3:$H$1191,2,FALSE))</f>
        <v/>
      </c>
      <c r="D5" s="57" t="str">
        <f>IF(B5="","",VLOOKUP(B5,'COMPLETE.protected'!$A$3:$H$1191,3,FALSE))</f>
        <v/>
      </c>
      <c r="E5" s="57" t="str">
        <f>IF(B5="","",VLOOKUP(B5,'COMPLETE.protected'!$A$3:$H$1191,4,FALSE))</f>
        <v/>
      </c>
      <c r="F5" s="8" t="str">
        <f>IF(B5="","",VLOOKUP(B5,'COMPLETE.protected'!$A$3:$H$1191,5,FALSE))</f>
        <v/>
      </c>
      <c r="G5" s="57" t="str">
        <f>IF(B5="","",VLOOKUP(B5,'COMPLETE.protected'!$A$3:$H$1191,6,FALSE))</f>
        <v/>
      </c>
      <c r="H5" s="9" t="str">
        <f>IF(B5="","",VLOOKUP(B5,'COMPLETE.protected'!$A$3:$H$1191,7,FALSE))</f>
        <v/>
      </c>
      <c r="I5" s="9" t="str">
        <f>IF(B5="","",VLOOKUP(B5,'COMPLETE.protected'!$A$3:$H$1191,8,FALSE))</f>
        <v/>
      </c>
    </row>
    <row r="6" spans="1:12" ht="15.75" x14ac:dyDescent="0.25">
      <c r="A6" s="10">
        <v>4</v>
      </c>
      <c r="B6" s="43"/>
      <c r="C6" s="7" t="str">
        <f>IF(B6="","",VLOOKUP(B6,'COMPLETE.protected'!$A$3:$H$1191,2,FALSE))</f>
        <v/>
      </c>
      <c r="D6" s="57" t="str">
        <f>IF(B6="","",VLOOKUP(B6,'COMPLETE.protected'!$A$3:$H$1191,3,FALSE))</f>
        <v/>
      </c>
      <c r="E6" s="57" t="str">
        <f>IF(B6="","",VLOOKUP(B6,'COMPLETE.protected'!$A$3:$H$1191,4,FALSE))</f>
        <v/>
      </c>
      <c r="F6" s="8" t="str">
        <f>IF(B6="","",VLOOKUP(B6,'COMPLETE.protected'!$A$3:$H$1191,5,FALSE))</f>
        <v/>
      </c>
      <c r="G6" s="57" t="str">
        <f>IF(B6="","",VLOOKUP(B6,'COMPLETE.protected'!$A$3:$H$1191,6,FALSE))</f>
        <v/>
      </c>
      <c r="H6" s="9" t="str">
        <f>IF(B6="","",VLOOKUP(B6,'COMPLETE.protected'!$A$3:$H$1191,7,FALSE))</f>
        <v/>
      </c>
      <c r="I6" s="9" t="str">
        <f>IF(B6="","",VLOOKUP(B6,'COMPLETE.protected'!$A$3:$H$1191,8,FALSE))</f>
        <v/>
      </c>
    </row>
    <row r="7" spans="1:12" ht="15.75" x14ac:dyDescent="0.25">
      <c r="A7" s="10">
        <v>5</v>
      </c>
      <c r="B7" s="45"/>
      <c r="C7" s="7" t="str">
        <f>IF(B7="","",VLOOKUP(B7,'COMPLETE.protected'!$A$3:$H$1191,2,FALSE))</f>
        <v/>
      </c>
      <c r="D7" s="57" t="str">
        <f>IF(B7="","",VLOOKUP(B7,'COMPLETE.protected'!$A$3:$H$1191,3,FALSE))</f>
        <v/>
      </c>
      <c r="E7" s="57" t="str">
        <f>IF(B7="","",VLOOKUP(B7,'COMPLETE.protected'!$A$3:$H$1191,4,FALSE))</f>
        <v/>
      </c>
      <c r="F7" s="8" t="str">
        <f>IF(B7="","",VLOOKUP(B7,'COMPLETE.protected'!$A$3:$H$1191,5,FALSE))</f>
        <v/>
      </c>
      <c r="G7" s="57" t="str">
        <f>IF(B7="","",VLOOKUP(B7,'COMPLETE.protected'!$A$3:$H$1191,6,FALSE))</f>
        <v/>
      </c>
      <c r="H7" s="9" t="str">
        <f>IF(B7="","",VLOOKUP(B7,'COMPLETE.protected'!$A$3:$H$1191,7,FALSE))</f>
        <v/>
      </c>
      <c r="I7" s="9" t="str">
        <f>IF(B7="","",VLOOKUP(B7,'COMPLETE.protected'!$A$3:$H$1191,8,FALSE))</f>
        <v/>
      </c>
      <c r="L7" t="s">
        <v>8</v>
      </c>
    </row>
    <row r="8" spans="1:12" ht="15.75" x14ac:dyDescent="0.25">
      <c r="A8" s="10">
        <v>6</v>
      </c>
      <c r="B8" s="45"/>
      <c r="C8" s="7" t="str">
        <f>IF(B8="","",VLOOKUP(B8,'COMPLETE.protected'!$A$3:$H$1191,2,FALSE))</f>
        <v/>
      </c>
      <c r="D8" s="57" t="str">
        <f>IF(B8="","",VLOOKUP(B8,'COMPLETE.protected'!$A$3:$H$1191,3,FALSE))</f>
        <v/>
      </c>
      <c r="E8" s="57" t="str">
        <f>IF(B8="","",VLOOKUP(B8,'COMPLETE.protected'!$A$3:$H$1191,4,FALSE))</f>
        <v/>
      </c>
      <c r="F8" s="8" t="str">
        <f>IF(B8="","",VLOOKUP(B8,'COMPLETE.protected'!$A$3:$H$1191,5,FALSE))</f>
        <v/>
      </c>
      <c r="G8" s="57" t="str">
        <f>IF(B8="","",VLOOKUP(B8,'COMPLETE.protected'!$A$3:$H$1191,6,FALSE))</f>
        <v/>
      </c>
      <c r="H8" s="9" t="str">
        <f>IF(B8="","",VLOOKUP(B8,'COMPLETE.protected'!$A$3:$H$1191,7,FALSE))</f>
        <v/>
      </c>
      <c r="I8" s="9" t="str">
        <f>IF(B8="","",VLOOKUP(B8,'COMPLETE.protected'!$A$3:$H$1191,8,FALSE))</f>
        <v/>
      </c>
    </row>
    <row r="9" spans="1:12" ht="15.75" x14ac:dyDescent="0.25">
      <c r="A9" s="10">
        <v>7</v>
      </c>
      <c r="B9" s="45"/>
      <c r="C9" s="7" t="str">
        <f>IF(B9="","",VLOOKUP(B9,'COMPLETE.protected'!$A$3:$H$1191,2,FALSE))</f>
        <v/>
      </c>
      <c r="D9" s="57" t="str">
        <f>IF(B9="","",VLOOKUP(B9,'COMPLETE.protected'!$A$3:$H$1191,3,FALSE))</f>
        <v/>
      </c>
      <c r="E9" s="57" t="str">
        <f>IF(B9="","",VLOOKUP(B9,'COMPLETE.protected'!$A$3:$H$1191,4,FALSE))</f>
        <v/>
      </c>
      <c r="F9" s="8" t="str">
        <f>IF(B9="","",VLOOKUP(B9,'COMPLETE.protected'!$A$3:$H$1191,5,FALSE))</f>
        <v/>
      </c>
      <c r="G9" s="57" t="str">
        <f>IF(B9="","",VLOOKUP(B9,'COMPLETE.protected'!$A$3:$H$1191,6,FALSE))</f>
        <v/>
      </c>
      <c r="H9" s="9" t="str">
        <f>IF(B9="","",VLOOKUP(B9,'COMPLETE.protected'!$A$3:$H$1191,7,FALSE))</f>
        <v/>
      </c>
      <c r="I9" s="9" t="str">
        <f>IF(B9="","",VLOOKUP(B9,'COMPLETE.protected'!$A$3:$H$1191,8,FALSE))</f>
        <v/>
      </c>
    </row>
    <row r="10" spans="1:12" ht="15.75" x14ac:dyDescent="0.25">
      <c r="A10" s="10">
        <v>8</v>
      </c>
      <c r="B10" s="45"/>
      <c r="C10" s="7" t="str">
        <f>IF(B10="","",VLOOKUP(B10,'COMPLETE.protected'!$A$3:$H$1191,2,FALSE))</f>
        <v/>
      </c>
      <c r="D10" s="57" t="str">
        <f>IF(B10="","",VLOOKUP(B10,'COMPLETE.protected'!$A$3:$H$1191,3,FALSE))</f>
        <v/>
      </c>
      <c r="E10" s="57" t="str">
        <f>IF(B10="","",VLOOKUP(B10,'COMPLETE.protected'!$A$3:$H$1191,4,FALSE))</f>
        <v/>
      </c>
      <c r="F10" s="8" t="str">
        <f>IF(B10="","",VLOOKUP(B10,'COMPLETE.protected'!$A$3:$H$1191,5,FALSE))</f>
        <v/>
      </c>
      <c r="G10" s="57" t="str">
        <f>IF(B10="","",VLOOKUP(B10,'COMPLETE.protected'!$A$3:$H$1191,6,FALSE))</f>
        <v/>
      </c>
      <c r="H10" s="9" t="str">
        <f>IF(B10="","",VLOOKUP(B10,'COMPLETE.protected'!$A$3:$H$1191,7,FALSE))</f>
        <v/>
      </c>
      <c r="I10" s="9" t="str">
        <f>IF(B10="","",VLOOKUP(B10,'COMPLETE.protected'!$A$3:$H$1191,8,FALSE))</f>
        <v/>
      </c>
    </row>
    <row r="11" spans="1:12" ht="15.75" x14ac:dyDescent="0.25">
      <c r="A11" s="10">
        <v>9</v>
      </c>
      <c r="B11" s="46"/>
      <c r="C11" s="7" t="str">
        <f>IF(B11="","",VLOOKUP(B11,'COMPLETE.protected'!$A$3:$H$1191,2,FALSE))</f>
        <v/>
      </c>
      <c r="D11" s="57" t="str">
        <f>IF(B11="","",VLOOKUP(B11,'COMPLETE.protected'!$A$3:$H$1191,3,FALSE))</f>
        <v/>
      </c>
      <c r="E11" s="57" t="str">
        <f>IF(B11="","",VLOOKUP(B11,'COMPLETE.protected'!$A$3:$H$1191,4,FALSE))</f>
        <v/>
      </c>
      <c r="F11" s="8" t="str">
        <f>IF(B11="","",VLOOKUP(B11,'COMPLETE.protected'!$A$3:$H$1191,5,FALSE))</f>
        <v/>
      </c>
      <c r="G11" s="57" t="str">
        <f>IF(B11="","",VLOOKUP(B11,'COMPLETE.protected'!$A$3:$H$1191,6,FALSE))</f>
        <v/>
      </c>
      <c r="H11" s="9" t="str">
        <f>IF(B11="","",VLOOKUP(B11,'COMPLETE.protected'!$A$3:$H$1191,7,FALSE))</f>
        <v/>
      </c>
      <c r="I11" s="9" t="str">
        <f>IF(B11="","",VLOOKUP(B11,'COMPLETE.protected'!$A$3:$H$1191,8,FALSE))</f>
        <v/>
      </c>
    </row>
    <row r="12" spans="1:12" ht="15.75" x14ac:dyDescent="0.25">
      <c r="A12" s="10">
        <v>10</v>
      </c>
      <c r="B12" s="47"/>
      <c r="C12" s="7" t="str">
        <f>IF(B12="","",VLOOKUP(B12,'COMPLETE.protected'!$A$3:$H$1191,2,FALSE))</f>
        <v/>
      </c>
      <c r="D12" s="57" t="str">
        <f>IF(B12="","",VLOOKUP(B12,'COMPLETE.protected'!$A$3:$H$1191,3,FALSE))</f>
        <v/>
      </c>
      <c r="E12" s="57" t="str">
        <f>IF(B12="","",VLOOKUP(B12,'COMPLETE.protected'!$A$3:$H$1191,4,FALSE))</f>
        <v/>
      </c>
      <c r="F12" s="8" t="str">
        <f>IF(B12="","",VLOOKUP(B12,'COMPLETE.protected'!$A$3:$H$1191,5,FALSE))</f>
        <v/>
      </c>
      <c r="G12" s="57" t="str">
        <f>IF(B12="","",VLOOKUP(B12,'COMPLETE.protected'!$A$3:$H$1191,6,FALSE))</f>
        <v/>
      </c>
      <c r="H12" s="9" t="str">
        <f>IF(B12="","",VLOOKUP(B12,'COMPLETE.protected'!$A$3:$H$1191,7,FALSE))</f>
        <v/>
      </c>
      <c r="I12" s="9" t="str">
        <f>IF(B12="","",VLOOKUP(B12,'COMPLETE.protected'!$A$3:$H$1191,8,FALSE))</f>
        <v/>
      </c>
    </row>
    <row r="13" spans="1:12" ht="15.75" x14ac:dyDescent="0.25">
      <c r="A13" s="10">
        <v>11</v>
      </c>
      <c r="B13" s="45"/>
      <c r="C13" s="7" t="str">
        <f>IF(B13="","",VLOOKUP(B13,'COMPLETE.protected'!$A$3:$H$1191,2,FALSE))</f>
        <v/>
      </c>
      <c r="D13" s="57" t="str">
        <f>IF(B13="","",VLOOKUP(B13,'COMPLETE.protected'!$A$3:$H$1191,3,FALSE))</f>
        <v/>
      </c>
      <c r="E13" s="57" t="str">
        <f>IF(B13="","",VLOOKUP(B13,'COMPLETE.protected'!$A$3:$H$1191,4,FALSE))</f>
        <v/>
      </c>
      <c r="F13" s="8" t="str">
        <f>IF(B13="","",VLOOKUP(B13,'COMPLETE.protected'!$A$3:$H$1191,5,FALSE))</f>
        <v/>
      </c>
      <c r="G13" s="57" t="str">
        <f>IF(B13="","",VLOOKUP(B13,'COMPLETE.protected'!$A$3:$H$1191,6,FALSE))</f>
        <v/>
      </c>
      <c r="H13" s="9" t="str">
        <f>IF(B13="","",VLOOKUP(B13,'COMPLETE.protected'!$A$3:$H$1191,7,FALSE))</f>
        <v/>
      </c>
      <c r="I13" s="9" t="str">
        <f>IF(B13="","",VLOOKUP(B13,'COMPLETE.protected'!$A$3:$H$1191,8,FALSE))</f>
        <v/>
      </c>
    </row>
    <row r="14" spans="1:12" ht="15.75" x14ac:dyDescent="0.25">
      <c r="A14" s="10">
        <v>12</v>
      </c>
      <c r="B14" s="46"/>
      <c r="C14" s="7" t="str">
        <f>IF(B14="","",VLOOKUP(B14,'COMPLETE.protected'!$A$3:$H$1191,2,FALSE))</f>
        <v/>
      </c>
      <c r="D14" s="57" t="str">
        <f>IF(B14="","",VLOOKUP(B14,'COMPLETE.protected'!$A$3:$H$1191,3,FALSE))</f>
        <v/>
      </c>
      <c r="E14" s="57" t="str">
        <f>IF(B14="","",VLOOKUP(B14,'COMPLETE.protected'!$A$3:$H$1191,4,FALSE))</f>
        <v/>
      </c>
      <c r="F14" s="8" t="str">
        <f>IF(B14="","",VLOOKUP(B14,'COMPLETE.protected'!$A$3:$H$1191,5,FALSE))</f>
        <v/>
      </c>
      <c r="G14" s="57" t="str">
        <f>IF(B14="","",VLOOKUP(B14,'COMPLETE.protected'!$A$3:$H$1191,6,FALSE))</f>
        <v/>
      </c>
      <c r="H14" s="9" t="str">
        <f>IF(B14="","",VLOOKUP(B14,'COMPLETE.protected'!$A$3:$H$1191,7,FALSE))</f>
        <v/>
      </c>
      <c r="I14" s="9" t="str">
        <f>IF(B14="","",VLOOKUP(B14,'COMPLETE.protected'!$A$3:$H$1191,8,FALSE))</f>
        <v/>
      </c>
    </row>
    <row r="15" spans="1:12" ht="15.75" x14ac:dyDescent="0.25">
      <c r="A15" s="10">
        <v>13</v>
      </c>
      <c r="B15" s="45"/>
      <c r="C15" s="7" t="str">
        <f>IF(B15="","",VLOOKUP(B15,'COMPLETE.protected'!$A$3:$H$1191,2,FALSE))</f>
        <v/>
      </c>
      <c r="D15" s="57" t="str">
        <f>IF(B15="","",VLOOKUP(B15,'COMPLETE.protected'!$A$3:$H$1191,3,FALSE))</f>
        <v/>
      </c>
      <c r="E15" s="57" t="str">
        <f>IF(B15="","",VLOOKUP(B15,'COMPLETE.protected'!$A$3:$H$1191,4,FALSE))</f>
        <v/>
      </c>
      <c r="F15" s="8" t="str">
        <f>IF(B15="","",VLOOKUP(B15,'COMPLETE.protected'!$A$3:$H$1191,5,FALSE))</f>
        <v/>
      </c>
      <c r="G15" s="57" t="str">
        <f>IF(B15="","",VLOOKUP(B15,'COMPLETE.protected'!$A$3:$H$1191,6,FALSE))</f>
        <v/>
      </c>
      <c r="H15" s="9" t="str">
        <f>IF(B15="","",VLOOKUP(B15,'COMPLETE.protected'!$A$3:$H$1191,7,FALSE))</f>
        <v/>
      </c>
      <c r="I15" s="9" t="str">
        <f>IF(B15="","",VLOOKUP(B15,'COMPLETE.protected'!$A$3:$H$1191,8,FALSE))</f>
        <v/>
      </c>
    </row>
    <row r="16" spans="1:12" ht="15.75" x14ac:dyDescent="0.25">
      <c r="A16" s="10">
        <v>14</v>
      </c>
      <c r="B16" s="46"/>
      <c r="C16" s="7" t="str">
        <f>IF(B16="","",VLOOKUP(B16,'COMPLETE.protected'!$A$3:$H$1191,2,FALSE))</f>
        <v/>
      </c>
      <c r="D16" s="57" t="str">
        <f>IF(B16="","",VLOOKUP(B16,'COMPLETE.protected'!$A$3:$H$1191,3,FALSE))</f>
        <v/>
      </c>
      <c r="E16" s="57" t="str">
        <f>IF(B16="","",VLOOKUP(B16,'COMPLETE.protected'!$A$3:$H$1191,4,FALSE))</f>
        <v/>
      </c>
      <c r="F16" s="8" t="str">
        <f>IF(B16="","",VLOOKUP(B16,'COMPLETE.protected'!$A$3:$H$1191,5,FALSE))</f>
        <v/>
      </c>
      <c r="G16" s="57" t="str">
        <f>IF(B16="","",VLOOKUP(B16,'COMPLETE.protected'!$A$3:$H$1191,6,FALSE))</f>
        <v/>
      </c>
      <c r="H16" s="9" t="str">
        <f>IF(B16="","",VLOOKUP(B16,'COMPLETE.protected'!$A$3:$H$1191,7,FALSE))</f>
        <v/>
      </c>
      <c r="I16" s="9" t="str">
        <f>IF(B16="","",VLOOKUP(B16,'COMPLETE.protected'!$A$3:$H$1191,8,FALSE))</f>
        <v/>
      </c>
    </row>
    <row r="17" spans="1:9" ht="15.75" x14ac:dyDescent="0.25">
      <c r="A17" s="10">
        <v>15</v>
      </c>
      <c r="B17" s="46"/>
      <c r="C17" s="7" t="str">
        <f>IF(B17="","",VLOOKUP(B17,'COMPLETE.protected'!$A$3:$H$1191,2,FALSE))</f>
        <v/>
      </c>
      <c r="D17" s="57" t="str">
        <f>IF(B17="","",VLOOKUP(B17,'COMPLETE.protected'!$A$3:$H$1191,3,FALSE))</f>
        <v/>
      </c>
      <c r="E17" s="57" t="str">
        <f>IF(B17="","",VLOOKUP(B17,'COMPLETE.protected'!$A$3:$H$1191,4,FALSE))</f>
        <v/>
      </c>
      <c r="F17" s="8" t="str">
        <f>IF(B17="","",VLOOKUP(B17,'COMPLETE.protected'!$A$3:$H$1191,5,FALSE))</f>
        <v/>
      </c>
      <c r="G17" s="57" t="str">
        <f>IF(B17="","",VLOOKUP(B17,'COMPLETE.protected'!$A$3:$H$1191,6,FALSE))</f>
        <v/>
      </c>
      <c r="H17" s="9" t="str">
        <f>IF(B17="","",VLOOKUP(B17,'COMPLETE.protected'!$A$3:$H$1191,7,FALSE))</f>
        <v/>
      </c>
      <c r="I17" s="9" t="str">
        <f>IF(B17="","",VLOOKUP(B17,'COMPLETE.protected'!$A$3:$H$1191,8,FALSE))</f>
        <v/>
      </c>
    </row>
    <row r="18" spans="1:9" ht="15.75" x14ac:dyDescent="0.25">
      <c r="A18" s="10">
        <v>16</v>
      </c>
      <c r="B18" s="46"/>
      <c r="C18" s="7" t="str">
        <f>IF(B18="","",VLOOKUP(B18,'COMPLETE.protected'!$A$3:$H$1191,2,FALSE))</f>
        <v/>
      </c>
      <c r="D18" s="57" t="str">
        <f>IF(B18="","",VLOOKUP(B18,'COMPLETE.protected'!$A$3:$H$1191,3,FALSE))</f>
        <v/>
      </c>
      <c r="E18" s="57" t="str">
        <f>IF(B18="","",VLOOKUP(B18,'COMPLETE.protected'!$A$3:$H$1191,4,FALSE))</f>
        <v/>
      </c>
      <c r="F18" s="8" t="str">
        <f>IF(B18="","",VLOOKUP(B18,'COMPLETE.protected'!$A$3:$H$1191,5,FALSE))</f>
        <v/>
      </c>
      <c r="G18" s="57" t="str">
        <f>IF(B18="","",VLOOKUP(B18,'COMPLETE.protected'!$A$3:$H$1191,6,FALSE))</f>
        <v/>
      </c>
      <c r="H18" s="9" t="str">
        <f>IF(B18="","",VLOOKUP(B18,'COMPLETE.protected'!$A$3:$H$1191,7,FALSE))</f>
        <v/>
      </c>
      <c r="I18" s="9" t="str">
        <f>IF(B18="","",VLOOKUP(B18,'COMPLETE.protected'!$A$3:$H$1191,8,FALSE))</f>
        <v/>
      </c>
    </row>
    <row r="19" spans="1:9" ht="15.75" x14ac:dyDescent="0.25">
      <c r="A19" s="10">
        <v>17</v>
      </c>
      <c r="B19" s="48"/>
      <c r="C19" s="7" t="str">
        <f>IF(B19="","",VLOOKUP(B19,'COMPLETE.protected'!$A$3:$H$1191,2,FALSE))</f>
        <v/>
      </c>
      <c r="D19" s="57" t="str">
        <f>IF(B19="","",VLOOKUP(B19,'COMPLETE.protected'!$A$3:$H$1191,3,FALSE))</f>
        <v/>
      </c>
      <c r="E19" s="57" t="str">
        <f>IF(B19="","",VLOOKUP(B19,'COMPLETE.protected'!$A$3:$H$1191,4,FALSE))</f>
        <v/>
      </c>
      <c r="F19" s="8" t="str">
        <f>IF(B19="","",VLOOKUP(B19,'COMPLETE.protected'!$A$3:$H$1191,5,FALSE))</f>
        <v/>
      </c>
      <c r="G19" s="57" t="str">
        <f>IF(B19="","",VLOOKUP(B19,'COMPLETE.protected'!$A$3:$H$1191,6,FALSE))</f>
        <v/>
      </c>
      <c r="H19" s="9" t="str">
        <f>IF(B19="","",VLOOKUP(B19,'COMPLETE.protected'!$A$3:$H$1191,7,FALSE))</f>
        <v/>
      </c>
      <c r="I19" s="9" t="str">
        <f>IF(B19="","",VLOOKUP(B19,'COMPLETE.protected'!$A$3:$H$1191,8,FALSE))</f>
        <v/>
      </c>
    </row>
    <row r="20" spans="1:9" ht="15.75" x14ac:dyDescent="0.25">
      <c r="A20" s="10">
        <v>18</v>
      </c>
      <c r="B20" s="46"/>
      <c r="C20" s="7" t="str">
        <f>IF(B20="","",VLOOKUP(B20,'COMPLETE.protected'!$A$3:$H$1191,2,FALSE))</f>
        <v/>
      </c>
      <c r="D20" s="57" t="str">
        <f>IF(B20="","",VLOOKUP(B20,'COMPLETE.protected'!$A$3:$H$1191,3,FALSE))</f>
        <v/>
      </c>
      <c r="E20" s="57" t="str">
        <f>IF(B20="","",VLOOKUP(B20,'COMPLETE.protected'!$A$3:$H$1191,4,FALSE))</f>
        <v/>
      </c>
      <c r="F20" s="8" t="str">
        <f>IF(B20="","",VLOOKUP(B20,'COMPLETE.protected'!$A$3:$H$1191,5,FALSE))</f>
        <v/>
      </c>
      <c r="G20" s="57" t="str">
        <f>IF(B20="","",VLOOKUP(B20,'COMPLETE.protected'!$A$3:$H$1191,6,FALSE))</f>
        <v/>
      </c>
      <c r="H20" s="9" t="str">
        <f>IF(B20="","",VLOOKUP(B20,'COMPLETE.protected'!$A$3:$H$1191,7,FALSE))</f>
        <v/>
      </c>
      <c r="I20" s="9" t="str">
        <f>IF(B20="","",VLOOKUP(B20,'COMPLETE.protected'!$A$3:$H$1191,8,FALSE))</f>
        <v/>
      </c>
    </row>
    <row r="21" spans="1:9" ht="15.75" x14ac:dyDescent="0.25">
      <c r="A21" s="10">
        <v>19</v>
      </c>
      <c r="B21" s="46"/>
      <c r="C21" s="7" t="str">
        <f>IF(B21="","",VLOOKUP(B21,'COMPLETE.protected'!$A$3:$H$1191,2,FALSE))</f>
        <v/>
      </c>
      <c r="D21" s="57" t="str">
        <f>IF(B21="","",VLOOKUP(B21,'COMPLETE.protected'!$A$3:$H$1191,3,FALSE))</f>
        <v/>
      </c>
      <c r="E21" s="57" t="str">
        <f>IF(B21="","",VLOOKUP(B21,'COMPLETE.protected'!$A$3:$H$1191,4,FALSE))</f>
        <v/>
      </c>
      <c r="F21" s="8" t="str">
        <f>IF(B21="","",VLOOKUP(B21,'COMPLETE.protected'!$A$3:$H$1191,5,FALSE))</f>
        <v/>
      </c>
      <c r="G21" s="57" t="str">
        <f>IF(B21="","",VLOOKUP(B21,'COMPLETE.protected'!$A$3:$H$1191,6,FALSE))</f>
        <v/>
      </c>
      <c r="H21" s="9" t="str">
        <f>IF(B21="","",VLOOKUP(B21,'COMPLETE.protected'!$A$3:$H$1191,7,FALSE))</f>
        <v/>
      </c>
      <c r="I21" s="9" t="str">
        <f>IF(B21="","",VLOOKUP(B21,'COMPLETE.protected'!$A$3:$H$1191,8,FALSE))</f>
        <v/>
      </c>
    </row>
    <row r="22" spans="1:9" ht="15.75" x14ac:dyDescent="0.25">
      <c r="A22" s="10">
        <v>20</v>
      </c>
      <c r="B22" s="46"/>
      <c r="C22" s="7" t="str">
        <f>IF(B22="","",VLOOKUP(B22,'COMPLETE.protected'!$A$3:$H$1191,2,FALSE))</f>
        <v/>
      </c>
      <c r="D22" s="57" t="str">
        <f>IF(B22="","",VLOOKUP(B22,'COMPLETE.protected'!$A$3:$H$1191,3,FALSE))</f>
        <v/>
      </c>
      <c r="E22" s="57" t="str">
        <f>IF(B22="","",VLOOKUP(B22,'COMPLETE.protected'!$A$3:$H$1191,4,FALSE))</f>
        <v/>
      </c>
      <c r="F22" s="8" t="str">
        <f>IF(B22="","",VLOOKUP(B22,'COMPLETE.protected'!$A$3:$H$1191,5,FALSE))</f>
        <v/>
      </c>
      <c r="G22" s="57" t="str">
        <f>IF(B22="","",VLOOKUP(B22,'COMPLETE.protected'!$A$3:$H$1191,6,FALSE))</f>
        <v/>
      </c>
      <c r="H22" s="9" t="str">
        <f>IF(B22="","",VLOOKUP(B22,'COMPLETE.protected'!$A$3:$H$1191,7,FALSE))</f>
        <v/>
      </c>
      <c r="I22" s="9" t="str">
        <f>IF(B22="","",VLOOKUP(B22,'COMPLETE.protected'!$A$3:$H$1191,8,FALSE))</f>
        <v/>
      </c>
    </row>
    <row r="23" spans="1:9" ht="15.75" x14ac:dyDescent="0.25">
      <c r="A23" s="10">
        <v>21</v>
      </c>
      <c r="B23" s="45"/>
      <c r="C23" s="7" t="str">
        <f>IF(B23="","",VLOOKUP(B23,'COMPLETE.protected'!$A$3:$H$1191,2,FALSE))</f>
        <v/>
      </c>
      <c r="D23" s="57" t="str">
        <f>IF(B23="","",VLOOKUP(B23,'COMPLETE.protected'!$A$3:$H$1191,3,FALSE))</f>
        <v/>
      </c>
      <c r="E23" s="57" t="str">
        <f>IF(B23="","",VLOOKUP(B23,'COMPLETE.protected'!$A$3:$H$1191,4,FALSE))</f>
        <v/>
      </c>
      <c r="F23" s="8" t="str">
        <f>IF(B23="","",VLOOKUP(B23,'COMPLETE.protected'!$A$3:$H$1191,5,FALSE))</f>
        <v/>
      </c>
      <c r="G23" s="57" t="str">
        <f>IF(B23="","",VLOOKUP(B23,'COMPLETE.protected'!$A$3:$H$1191,6,FALSE))</f>
        <v/>
      </c>
      <c r="H23" s="9" t="str">
        <f>IF(B23="","",VLOOKUP(B23,'COMPLETE.protected'!$A$3:$H$1191,7,FALSE))</f>
        <v/>
      </c>
      <c r="I23" s="9" t="str">
        <f>IF(B23="","",VLOOKUP(B23,'COMPLETE.protected'!$A$3:$H$1191,8,FALSE))</f>
        <v/>
      </c>
    </row>
    <row r="24" spans="1:9" ht="15.75" x14ac:dyDescent="0.25">
      <c r="A24" s="10">
        <v>22</v>
      </c>
      <c r="B24" s="46"/>
      <c r="C24" s="7" t="str">
        <f>IF(B24="","",VLOOKUP(B24,'COMPLETE.protected'!$A$3:$H$1191,2,FALSE))</f>
        <v/>
      </c>
      <c r="D24" s="57" t="str">
        <f>IF(B24="","",VLOOKUP(B24,'COMPLETE.protected'!$A$3:$H$1191,3,FALSE))</f>
        <v/>
      </c>
      <c r="E24" s="57" t="str">
        <f>IF(B24="","",VLOOKUP(B24,'COMPLETE.protected'!$A$3:$H$1191,4,FALSE))</f>
        <v/>
      </c>
      <c r="F24" s="8" t="str">
        <f>IF(B24="","",VLOOKUP(B24,'COMPLETE.protected'!$A$3:$H$1191,5,FALSE))</f>
        <v/>
      </c>
      <c r="G24" s="57" t="str">
        <f>IF(B24="","",VLOOKUP(B24,'COMPLETE.protected'!$A$3:$H$1191,6,FALSE))</f>
        <v/>
      </c>
      <c r="H24" s="9" t="str">
        <f>IF(B24="","",VLOOKUP(B24,'COMPLETE.protected'!$A$3:$H$1191,7,FALSE))</f>
        <v/>
      </c>
      <c r="I24" s="9" t="str">
        <f>IF(B24="","",VLOOKUP(B24,'COMPLETE.protected'!$A$3:$H$1191,8,FALSE))</f>
        <v/>
      </c>
    </row>
    <row r="25" spans="1:9" ht="15.75" x14ac:dyDescent="0.25">
      <c r="A25" s="10">
        <v>23</v>
      </c>
      <c r="B25" s="46"/>
      <c r="C25" s="7" t="str">
        <f>IF(B25="","",VLOOKUP(B25,'COMPLETE.protected'!$A$3:$H$1191,2,FALSE))</f>
        <v/>
      </c>
      <c r="D25" s="57" t="str">
        <f>IF(B25="","",VLOOKUP(B25,'COMPLETE.protected'!$A$3:$H$1191,3,FALSE))</f>
        <v/>
      </c>
      <c r="E25" s="57" t="str">
        <f>IF(B25="","",VLOOKUP(B25,'COMPLETE.protected'!$A$3:$H$1191,4,FALSE))</f>
        <v/>
      </c>
      <c r="F25" s="8" t="str">
        <f>IF(B25="","",VLOOKUP(B25,'COMPLETE.protected'!$A$3:$H$1191,5,FALSE))</f>
        <v/>
      </c>
      <c r="G25" s="57" t="str">
        <f>IF(B25="","",VLOOKUP(B25,'COMPLETE.protected'!$A$3:$H$1191,6,FALSE))</f>
        <v/>
      </c>
      <c r="H25" s="9" t="str">
        <f>IF(B25="","",VLOOKUP(B25,'COMPLETE.protected'!$A$3:$H$1191,7,FALSE))</f>
        <v/>
      </c>
      <c r="I25" s="9" t="str">
        <f>IF(B25="","",VLOOKUP(B25,'COMPLETE.protected'!$A$3:$H$1191,8,FALSE))</f>
        <v/>
      </c>
    </row>
    <row r="26" spans="1:9" ht="15.75" x14ac:dyDescent="0.25">
      <c r="A26" s="10">
        <v>24</v>
      </c>
      <c r="B26" s="45"/>
      <c r="C26" s="7" t="str">
        <f>IF(B26="","",VLOOKUP(B26,'COMPLETE.protected'!$A$3:$H$1191,2,FALSE))</f>
        <v/>
      </c>
      <c r="D26" s="57" t="str">
        <f>IF(B26="","",VLOOKUP(B26,'COMPLETE.protected'!$A$3:$H$1191,3,FALSE))</f>
        <v/>
      </c>
      <c r="E26" s="57" t="str">
        <f>IF(B26="","",VLOOKUP(B26,'COMPLETE.protected'!$A$3:$H$1191,4,FALSE))</f>
        <v/>
      </c>
      <c r="F26" s="8" t="str">
        <f>IF(B26="","",VLOOKUP(B26,'COMPLETE.protected'!$A$3:$H$1191,5,FALSE))</f>
        <v/>
      </c>
      <c r="G26" s="57" t="str">
        <f>IF(B26="","",VLOOKUP(B26,'COMPLETE.protected'!$A$3:$H$1191,6,FALSE))</f>
        <v/>
      </c>
      <c r="H26" s="9" t="str">
        <f>IF(B26="","",VLOOKUP(B26,'COMPLETE.protected'!$A$3:$H$1191,7,FALSE))</f>
        <v/>
      </c>
      <c r="I26" s="9" t="str">
        <f>IF(B26="","",VLOOKUP(B26,'COMPLETE.protected'!$A$3:$H$1191,8,FALSE))</f>
        <v/>
      </c>
    </row>
    <row r="27" spans="1:9" ht="15.75" x14ac:dyDescent="0.25">
      <c r="A27" s="10">
        <v>25</v>
      </c>
      <c r="B27" s="46"/>
      <c r="C27" s="7" t="str">
        <f>IF(B27="","",VLOOKUP(B27,'COMPLETE.protected'!$A$3:$H$1191,2,FALSE))</f>
        <v/>
      </c>
      <c r="D27" s="57" t="str">
        <f>IF(B27="","",VLOOKUP(B27,'COMPLETE.protected'!$A$3:$H$1191,3,FALSE))</f>
        <v/>
      </c>
      <c r="E27" s="57" t="str">
        <f>IF(B27="","",VLOOKUP(B27,'COMPLETE.protected'!$A$3:$H$1191,4,FALSE))</f>
        <v/>
      </c>
      <c r="F27" s="8" t="str">
        <f>IF(B27="","",VLOOKUP(B27,'COMPLETE.protected'!$A$3:$H$1191,5,FALSE))</f>
        <v/>
      </c>
      <c r="G27" s="57" t="str">
        <f>IF(B27="","",VLOOKUP(B27,'COMPLETE.protected'!$A$3:$H$1191,6,FALSE))</f>
        <v/>
      </c>
      <c r="H27" s="9" t="str">
        <f>IF(B27="","",VLOOKUP(B27,'COMPLETE.protected'!$A$3:$H$1191,7,FALSE))</f>
        <v/>
      </c>
      <c r="I27" s="9" t="str">
        <f>IF(B27="","",VLOOKUP(B27,'COMPLETE.protected'!$A$3:$H$1191,8,FALSE))</f>
        <v/>
      </c>
    </row>
    <row r="28" spans="1:9" ht="15.75" x14ac:dyDescent="0.25">
      <c r="A28" s="10">
        <v>26</v>
      </c>
      <c r="B28" s="46"/>
      <c r="C28" s="7" t="str">
        <f>IF(B28="","",VLOOKUP(B28,'COMPLETE.protected'!$A$3:$H$1191,2,FALSE))</f>
        <v/>
      </c>
      <c r="D28" s="57" t="str">
        <f>IF(B28="","",VLOOKUP(B28,'COMPLETE.protected'!$A$3:$H$1191,3,FALSE))</f>
        <v/>
      </c>
      <c r="E28" s="57" t="str">
        <f>IF(B28="","",VLOOKUP(B28,'COMPLETE.protected'!$A$3:$H$1191,4,FALSE))</f>
        <v/>
      </c>
      <c r="F28" s="8" t="str">
        <f>IF(B28="","",VLOOKUP(B28,'COMPLETE.protected'!$A$3:$H$1191,5,FALSE))</f>
        <v/>
      </c>
      <c r="G28" s="57" t="str">
        <f>IF(B28="","",VLOOKUP(B28,'COMPLETE.protected'!$A$3:$H$1191,6,FALSE))</f>
        <v/>
      </c>
      <c r="H28" s="9" t="str">
        <f>IF(B28="","",VLOOKUP(B28,'COMPLETE.protected'!$A$3:$H$1191,7,FALSE))</f>
        <v/>
      </c>
      <c r="I28" s="9" t="str">
        <f>IF(B28="","",VLOOKUP(B28,'COMPLETE.protected'!$A$3:$H$1191,8,FALSE))</f>
        <v/>
      </c>
    </row>
    <row r="29" spans="1:9" ht="15.75" x14ac:dyDescent="0.25">
      <c r="A29" s="10">
        <v>27</v>
      </c>
      <c r="B29" s="46"/>
      <c r="C29" s="7" t="str">
        <f>IF(B29="","",VLOOKUP(B29,'COMPLETE.protected'!$A$3:$H$1191,2,FALSE))</f>
        <v/>
      </c>
      <c r="D29" s="57" t="str">
        <f>IF(B29="","",VLOOKUP(B29,'COMPLETE.protected'!$A$3:$H$1191,3,FALSE))</f>
        <v/>
      </c>
      <c r="E29" s="57" t="str">
        <f>IF(B29="","",VLOOKUP(B29,'COMPLETE.protected'!$A$3:$H$1191,4,FALSE))</f>
        <v/>
      </c>
      <c r="F29" s="8" t="str">
        <f>IF(B29="","",VLOOKUP(B29,'COMPLETE.protected'!$A$3:$H$1191,5,FALSE))</f>
        <v/>
      </c>
      <c r="G29" s="57" t="str">
        <f>IF(B29="","",VLOOKUP(B29,'COMPLETE.protected'!$A$3:$H$1191,6,FALSE))</f>
        <v/>
      </c>
      <c r="H29" s="9" t="str">
        <f>IF(B29="","",VLOOKUP(B29,'COMPLETE.protected'!$A$3:$H$1191,7,FALSE))</f>
        <v/>
      </c>
      <c r="I29" s="9" t="str">
        <f>IF(B29="","",VLOOKUP(B29,'COMPLETE.protected'!$A$3:$H$1191,8,FALSE))</f>
        <v/>
      </c>
    </row>
    <row r="30" spans="1:9" ht="15.75" x14ac:dyDescent="0.25">
      <c r="A30" s="10">
        <v>28</v>
      </c>
      <c r="B30" s="46"/>
      <c r="C30" s="7" t="str">
        <f>IF(B30="","",VLOOKUP(B30,'COMPLETE.protected'!$A$3:$H$1191,2,FALSE))</f>
        <v/>
      </c>
      <c r="D30" s="57" t="str">
        <f>IF(B30="","",VLOOKUP(B30,'COMPLETE.protected'!$A$3:$H$1191,3,FALSE))</f>
        <v/>
      </c>
      <c r="E30" s="57" t="str">
        <f>IF(B30="","",VLOOKUP(B30,'COMPLETE.protected'!$A$3:$H$1191,4,FALSE))</f>
        <v/>
      </c>
      <c r="F30" s="8" t="str">
        <f>IF(B30="","",VLOOKUP(B30,'COMPLETE.protected'!$A$3:$H$1191,5,FALSE))</f>
        <v/>
      </c>
      <c r="G30" s="57" t="str">
        <f>IF(B30="","",VLOOKUP(B30,'COMPLETE.protected'!$A$3:$H$1191,6,FALSE))</f>
        <v/>
      </c>
      <c r="H30" s="9" t="str">
        <f>IF(B30="","",VLOOKUP(B30,'COMPLETE.protected'!$A$3:$H$1191,7,FALSE))</f>
        <v/>
      </c>
      <c r="I30" s="9" t="str">
        <f>IF(B30="","",VLOOKUP(B30,'COMPLETE.protected'!$A$3:$H$1191,8,FALSE))</f>
        <v/>
      </c>
    </row>
    <row r="31" spans="1:9" ht="15.75" x14ac:dyDescent="0.25">
      <c r="A31" s="10">
        <v>29</v>
      </c>
      <c r="B31" s="46"/>
      <c r="C31" s="7" t="str">
        <f>IF(B31="","",VLOOKUP(B31,'COMPLETE.protected'!$A$3:$H$1191,2,FALSE))</f>
        <v/>
      </c>
      <c r="D31" s="57" t="str">
        <f>IF(B31="","",VLOOKUP(B31,'COMPLETE.protected'!$A$3:$H$1191,3,FALSE))</f>
        <v/>
      </c>
      <c r="E31" s="57" t="str">
        <f>IF(B31="","",VLOOKUP(B31,'COMPLETE.protected'!$A$3:$H$1191,4,FALSE))</f>
        <v/>
      </c>
      <c r="F31" s="8" t="str">
        <f>IF(B31="","",VLOOKUP(B31,'COMPLETE.protected'!$A$3:$H$1191,5,FALSE))</f>
        <v/>
      </c>
      <c r="G31" s="57" t="str">
        <f>IF(B31="","",VLOOKUP(B31,'COMPLETE.protected'!$A$3:$H$1191,6,FALSE))</f>
        <v/>
      </c>
      <c r="H31" s="9" t="str">
        <f>IF(B31="","",VLOOKUP(B31,'COMPLETE.protected'!$A$3:$H$1191,7,FALSE))</f>
        <v/>
      </c>
      <c r="I31" s="9" t="str">
        <f>IF(B31="","",VLOOKUP(B31,'COMPLETE.protected'!$A$3:$H$1191,8,FALSE))</f>
        <v/>
      </c>
    </row>
    <row r="32" spans="1:9" ht="15.75" x14ac:dyDescent="0.25">
      <c r="A32" s="10">
        <v>30</v>
      </c>
      <c r="B32" s="45"/>
      <c r="C32" s="7" t="str">
        <f>IF(B32="","",VLOOKUP(B32,'COMPLETE.protected'!$A$3:$H$1191,2,FALSE))</f>
        <v/>
      </c>
      <c r="D32" s="57" t="str">
        <f>IF(B32="","",VLOOKUP(B32,'COMPLETE.protected'!$A$3:$H$1191,3,FALSE))</f>
        <v/>
      </c>
      <c r="E32" s="57" t="str">
        <f>IF(B32="","",VLOOKUP(B32,'COMPLETE.protected'!$A$3:$H$1191,4,FALSE))</f>
        <v/>
      </c>
      <c r="F32" s="8" t="str">
        <f>IF(B32="","",VLOOKUP(B32,'COMPLETE.protected'!$A$3:$H$1191,5,FALSE))</f>
        <v/>
      </c>
      <c r="G32" s="57" t="str">
        <f>IF(B32="","",VLOOKUP(B32,'COMPLETE.protected'!$A$3:$H$1191,6,FALSE))</f>
        <v/>
      </c>
      <c r="H32" s="9" t="str">
        <f>IF(B32="","",VLOOKUP(B32,'COMPLETE.protected'!$A$3:$H$1191,7,FALSE))</f>
        <v/>
      </c>
      <c r="I32" s="9" t="str">
        <f>IF(B32="","",VLOOKUP(B32,'COMPLETE.protected'!$A$3:$H$1191,8,FALSE))</f>
        <v/>
      </c>
    </row>
    <row r="33" spans="1:9" ht="15.75" x14ac:dyDescent="0.25">
      <c r="A33" s="10">
        <v>31</v>
      </c>
      <c r="B33" s="46"/>
      <c r="C33" s="7" t="str">
        <f>IF(B33="","",VLOOKUP(B33,'COMPLETE.protected'!$A$3:$H$1191,2,FALSE))</f>
        <v/>
      </c>
      <c r="D33" s="57" t="str">
        <f>IF(B33="","",VLOOKUP(B33,'COMPLETE.protected'!$A$3:$H$1191,3,FALSE))</f>
        <v/>
      </c>
      <c r="E33" s="57" t="str">
        <f>IF(B33="","",VLOOKUP(B33,'COMPLETE.protected'!$A$3:$H$1191,4,FALSE))</f>
        <v/>
      </c>
      <c r="F33" s="8" t="str">
        <f>IF(B33="","",VLOOKUP(B33,'COMPLETE.protected'!$A$3:$H$1191,5,FALSE))</f>
        <v/>
      </c>
      <c r="G33" s="57" t="str">
        <f>IF(B33="","",VLOOKUP(B33,'COMPLETE.protected'!$A$3:$H$1191,6,FALSE))</f>
        <v/>
      </c>
      <c r="H33" s="9" t="str">
        <f>IF(B33="","",VLOOKUP(B33,'COMPLETE.protected'!$A$3:$H$1191,7,FALSE))</f>
        <v/>
      </c>
      <c r="I33" s="9" t="str">
        <f>IF(B33="","",VLOOKUP(B33,'COMPLETE.protected'!$A$3:$H$1191,8,FALSE))</f>
        <v/>
      </c>
    </row>
    <row r="34" spans="1:9" ht="15.75" x14ac:dyDescent="0.25">
      <c r="A34" s="10">
        <v>32</v>
      </c>
      <c r="B34" s="46"/>
      <c r="C34" s="7" t="str">
        <f>IF(B34="","",VLOOKUP(B34,'COMPLETE.protected'!$A$3:$H$1191,2,FALSE))</f>
        <v/>
      </c>
      <c r="D34" s="57" t="str">
        <f>IF(B34="","",VLOOKUP(B34,'COMPLETE.protected'!$A$3:$H$1191,3,FALSE))</f>
        <v/>
      </c>
      <c r="E34" s="57" t="str">
        <f>IF(B34="","",VLOOKUP(B34,'COMPLETE.protected'!$A$3:$H$1191,4,FALSE))</f>
        <v/>
      </c>
      <c r="F34" s="8" t="str">
        <f>IF(B34="","",VLOOKUP(B34,'COMPLETE.protected'!$A$3:$H$1191,5,FALSE))</f>
        <v/>
      </c>
      <c r="G34" s="57" t="str">
        <f>IF(B34="","",VLOOKUP(B34,'COMPLETE.protected'!$A$3:$H$1191,6,FALSE))</f>
        <v/>
      </c>
      <c r="H34" s="9" t="str">
        <f>IF(B34="","",VLOOKUP(B34,'COMPLETE.protected'!$A$3:$H$1191,7,FALSE))</f>
        <v/>
      </c>
      <c r="I34" s="9" t="str">
        <f>IF(B34="","",VLOOKUP(B34,'COMPLETE.protected'!$A$3:$H$1191,8,FALSE))</f>
        <v/>
      </c>
    </row>
    <row r="35" spans="1:9" ht="15.75" x14ac:dyDescent="0.25">
      <c r="A35" s="10">
        <v>33</v>
      </c>
      <c r="B35" s="49"/>
      <c r="C35" s="7" t="str">
        <f>IF(B35="","",VLOOKUP(B35,'COMPLETE.protected'!$A$3:$H$1191,2,FALSE))</f>
        <v/>
      </c>
      <c r="D35" s="57" t="str">
        <f>IF(B35="","",VLOOKUP(B35,'COMPLETE.protected'!$A$3:$H$1191,3,FALSE))</f>
        <v/>
      </c>
      <c r="E35" s="57" t="str">
        <f>IF(B35="","",VLOOKUP(B35,'COMPLETE.protected'!$A$3:$H$1191,4,FALSE))</f>
        <v/>
      </c>
      <c r="F35" s="8" t="str">
        <f>IF(B35="","",VLOOKUP(B35,'COMPLETE.protected'!$A$3:$H$1191,5,FALSE))</f>
        <v/>
      </c>
      <c r="G35" s="57" t="str">
        <f>IF(B35="","",VLOOKUP(B35,'COMPLETE.protected'!$A$3:$H$1191,6,FALSE))</f>
        <v/>
      </c>
      <c r="H35" s="9" t="str">
        <f>IF(B35="","",VLOOKUP(B35,'COMPLETE.protected'!$A$3:$H$1191,7,FALSE))</f>
        <v/>
      </c>
      <c r="I35" s="9" t="str">
        <f>IF(B35="","",VLOOKUP(B35,'COMPLETE.protected'!$A$3:$H$1191,8,FALSE))</f>
        <v/>
      </c>
    </row>
    <row r="36" spans="1:9" ht="15.75" x14ac:dyDescent="0.25">
      <c r="A36" s="10">
        <v>34</v>
      </c>
      <c r="B36" s="45"/>
      <c r="C36" s="7" t="str">
        <f>IF(B36="","",VLOOKUP(B36,'COMPLETE.protected'!$A$3:$H$1191,2,FALSE))</f>
        <v/>
      </c>
      <c r="D36" s="57" t="str">
        <f>IF(B36="","",VLOOKUP(B36,'COMPLETE.protected'!$A$3:$H$1191,3,FALSE))</f>
        <v/>
      </c>
      <c r="E36" s="57" t="str">
        <f>IF(B36="","",VLOOKUP(B36,'COMPLETE.protected'!$A$3:$H$1191,4,FALSE))</f>
        <v/>
      </c>
      <c r="F36" s="8" t="str">
        <f>IF(B36="","",VLOOKUP(B36,'COMPLETE.protected'!$A$3:$H$1191,5,FALSE))</f>
        <v/>
      </c>
      <c r="G36" s="57" t="str">
        <f>IF(B36="","",VLOOKUP(B36,'COMPLETE.protected'!$A$3:$H$1191,6,FALSE))</f>
        <v/>
      </c>
      <c r="H36" s="9" t="str">
        <f>IF(B36="","",VLOOKUP(B36,'COMPLETE.protected'!$A$3:$H$1191,7,FALSE))</f>
        <v/>
      </c>
      <c r="I36" s="9" t="str">
        <f>IF(B36="","",VLOOKUP(B36,'COMPLETE.protected'!$A$3:$H$1191,8,FALSE))</f>
        <v/>
      </c>
    </row>
    <row r="37" spans="1:9" ht="15.75" x14ac:dyDescent="0.25">
      <c r="A37" s="10">
        <v>35</v>
      </c>
      <c r="B37" s="46"/>
      <c r="C37" s="7" t="str">
        <f>IF(B37="","",VLOOKUP(B37,'COMPLETE.protected'!$A$3:$H$1191,2,FALSE))</f>
        <v/>
      </c>
      <c r="D37" s="57" t="str">
        <f>IF(B37="","",VLOOKUP(B37,'COMPLETE.protected'!$A$3:$H$1191,3,FALSE))</f>
        <v/>
      </c>
      <c r="E37" s="57" t="str">
        <f>IF(B37="","",VLOOKUP(B37,'COMPLETE.protected'!$A$3:$H$1191,4,FALSE))</f>
        <v/>
      </c>
      <c r="F37" s="8" t="str">
        <f>IF(B37="","",VLOOKUP(B37,'COMPLETE.protected'!$A$3:$H$1191,5,FALSE))</f>
        <v/>
      </c>
      <c r="G37" s="57" t="str">
        <f>IF(B37="","",VLOOKUP(B37,'COMPLETE.protected'!$A$3:$H$1191,6,FALSE))</f>
        <v/>
      </c>
      <c r="H37" s="9" t="str">
        <f>IF(B37="","",VLOOKUP(B37,'COMPLETE.protected'!$A$3:$H$1191,7,FALSE))</f>
        <v/>
      </c>
      <c r="I37" s="9" t="str">
        <f>IF(B37="","",VLOOKUP(B37,'COMPLETE.protected'!$A$3:$H$1191,8,FALSE))</f>
        <v/>
      </c>
    </row>
    <row r="38" spans="1:9" ht="15.75" x14ac:dyDescent="0.25">
      <c r="A38" s="10">
        <v>36</v>
      </c>
      <c r="B38" s="46"/>
      <c r="C38" s="7" t="str">
        <f>IF(B38="","",VLOOKUP(B38,'COMPLETE.protected'!$A$3:$H$1191,2,FALSE))</f>
        <v/>
      </c>
      <c r="D38" s="57" t="str">
        <f>IF(B38="","",VLOOKUP(B38,'COMPLETE.protected'!$A$3:$H$1191,3,FALSE))</f>
        <v/>
      </c>
      <c r="E38" s="57" t="str">
        <f>IF(B38="","",VLOOKUP(B38,'COMPLETE.protected'!$A$3:$H$1191,4,FALSE))</f>
        <v/>
      </c>
      <c r="F38" s="8" t="str">
        <f>IF(B38="","",VLOOKUP(B38,'COMPLETE.protected'!$A$3:$H$1191,5,FALSE))</f>
        <v/>
      </c>
      <c r="G38" s="57" t="str">
        <f>IF(B38="","",VLOOKUP(B38,'COMPLETE.protected'!$A$3:$H$1191,6,FALSE))</f>
        <v/>
      </c>
      <c r="H38" s="9" t="str">
        <f>IF(B38="","",VLOOKUP(B38,'COMPLETE.protected'!$A$3:$H$1191,7,FALSE))</f>
        <v/>
      </c>
      <c r="I38" s="9" t="str">
        <f>IF(B38="","",VLOOKUP(B38,'COMPLETE.protected'!$A$3:$H$1191,8,FALSE))</f>
        <v/>
      </c>
    </row>
    <row r="39" spans="1:9" ht="15.75" x14ac:dyDescent="0.25">
      <c r="A39" s="10">
        <v>37</v>
      </c>
      <c r="B39" s="45"/>
      <c r="C39" s="7" t="str">
        <f>IF(B39="","",VLOOKUP(B39,'COMPLETE.protected'!$A$3:$H$1191,2,FALSE))</f>
        <v/>
      </c>
      <c r="D39" s="57" t="str">
        <f>IF(B39="","",VLOOKUP(B39,'COMPLETE.protected'!$A$3:$H$1191,3,FALSE))</f>
        <v/>
      </c>
      <c r="E39" s="57" t="str">
        <f>IF(B39="","",VLOOKUP(B39,'COMPLETE.protected'!$A$3:$H$1191,4,FALSE))</f>
        <v/>
      </c>
      <c r="F39" s="8" t="str">
        <f>IF(B39="","",VLOOKUP(B39,'COMPLETE.protected'!$A$3:$H$1191,5,FALSE))</f>
        <v/>
      </c>
      <c r="G39" s="57" t="str">
        <f>IF(B39="","",VLOOKUP(B39,'COMPLETE.protected'!$A$3:$H$1191,6,FALSE))</f>
        <v/>
      </c>
      <c r="H39" s="9" t="str">
        <f>IF(B39="","",VLOOKUP(B39,'COMPLETE.protected'!$A$3:$H$1191,7,FALSE))</f>
        <v/>
      </c>
      <c r="I39" s="9" t="str">
        <f>IF(B39="","",VLOOKUP(B39,'COMPLETE.protected'!$A$3:$H$1191,8,FALSE))</f>
        <v/>
      </c>
    </row>
    <row r="40" spans="1:9" ht="15.75" x14ac:dyDescent="0.25">
      <c r="A40" s="10">
        <v>38</v>
      </c>
      <c r="B40" s="46"/>
      <c r="C40" s="7" t="str">
        <f>IF(B40="","",VLOOKUP(B40,'COMPLETE.protected'!$A$3:$H$1191,2,FALSE))</f>
        <v/>
      </c>
      <c r="D40" s="57" t="str">
        <f>IF(B40="","",VLOOKUP(B40,'COMPLETE.protected'!$A$3:$H$1191,3,FALSE))</f>
        <v/>
      </c>
      <c r="E40" s="57" t="str">
        <f>IF(B40="","",VLOOKUP(B40,'COMPLETE.protected'!$A$3:$H$1191,4,FALSE))</f>
        <v/>
      </c>
      <c r="F40" s="8" t="str">
        <f>IF(B40="","",VLOOKUP(B40,'COMPLETE.protected'!$A$3:$H$1191,5,FALSE))</f>
        <v/>
      </c>
      <c r="G40" s="57" t="str">
        <f>IF(B40="","",VLOOKUP(B40,'COMPLETE.protected'!$A$3:$H$1191,6,FALSE))</f>
        <v/>
      </c>
      <c r="H40" s="9" t="str">
        <f>IF(B40="","",VLOOKUP(B40,'COMPLETE.protected'!$A$3:$H$1191,7,FALSE))</f>
        <v/>
      </c>
      <c r="I40" s="9" t="str">
        <f>IF(B40="","",VLOOKUP(B40,'COMPLETE.protected'!$A$3:$H$1191,8,FALSE))</f>
        <v/>
      </c>
    </row>
    <row r="41" spans="1:9" ht="15.75" x14ac:dyDescent="0.25">
      <c r="A41" s="10">
        <v>39</v>
      </c>
      <c r="B41" s="46"/>
      <c r="C41" s="7" t="str">
        <f>IF(B41="","",VLOOKUP(B41,'COMPLETE.protected'!$A$3:$H$1191,2,FALSE))</f>
        <v/>
      </c>
      <c r="D41" s="57" t="str">
        <f>IF(B41="","",VLOOKUP(B41,'COMPLETE.protected'!$A$3:$H$1191,3,FALSE))</f>
        <v/>
      </c>
      <c r="E41" s="57" t="str">
        <f>IF(B41="","",VLOOKUP(B41,'COMPLETE.protected'!$A$3:$H$1191,4,FALSE))</f>
        <v/>
      </c>
      <c r="F41" s="8" t="str">
        <f>IF(B41="","",VLOOKUP(B41,'COMPLETE.protected'!$A$3:$H$1191,5,FALSE))</f>
        <v/>
      </c>
      <c r="G41" s="57" t="str">
        <f>IF(B41="","",VLOOKUP(B41,'COMPLETE.protected'!$A$3:$H$1191,6,FALSE))</f>
        <v/>
      </c>
      <c r="H41" s="9" t="str">
        <f>IF(B41="","",VLOOKUP(B41,'COMPLETE.protected'!$A$3:$H$1191,7,FALSE))</f>
        <v/>
      </c>
      <c r="I41" s="9" t="str">
        <f>IF(B41="","",VLOOKUP(B41,'COMPLETE.protected'!$A$3:$H$1191,8,FALSE))</f>
        <v/>
      </c>
    </row>
    <row r="42" spans="1:9" ht="16.5" thickBot="1" x14ac:dyDescent="0.3">
      <c r="A42" s="11">
        <v>40</v>
      </c>
      <c r="B42" s="50"/>
      <c r="C42" s="7" t="str">
        <f>IF(B42="","",VLOOKUP(B42,'COMPLETE.protected'!$A$3:$H$1191,2,FALSE))</f>
        <v/>
      </c>
      <c r="D42" s="57" t="str">
        <f>IF(B42="","",VLOOKUP(B42,'COMPLETE.protected'!$A$3:$H$1191,3,FALSE))</f>
        <v/>
      </c>
      <c r="E42" s="57" t="str">
        <f>IF(B42="","",VLOOKUP(B42,'COMPLETE.protected'!$A$3:$H$1191,4,FALSE))</f>
        <v/>
      </c>
      <c r="F42" s="8" t="str">
        <f>IF(B42="","",VLOOKUP(B42,'COMPLETE.protected'!$A$3:$H$1191,5,FALSE))</f>
        <v/>
      </c>
      <c r="G42" s="57" t="str">
        <f>IF(B42="","",VLOOKUP(B42,'COMPLETE.protected'!$A$3:$H$1191,6,FALSE))</f>
        <v/>
      </c>
      <c r="H42" s="9" t="str">
        <f>IF(B42="","",VLOOKUP(B42,'COMPLETE.protected'!$A$3:$H$1191,7,FALSE))</f>
        <v/>
      </c>
      <c r="I42" s="9" t="str">
        <f>IF(B42="","",VLOOKUP(B42,'COMPLETE.protected'!$A$3:$H$1191,8,FALSE))</f>
        <v/>
      </c>
    </row>
    <row r="71" spans="2:8" hidden="1" x14ac:dyDescent="0.2">
      <c r="B71" s="12"/>
      <c r="C71" s="12" t="str">
        <f>IF($B71="","",(VLOOKUP($B$33,'[1]COMPLETE.protected'!#REF!,2,FALSE)))</f>
        <v/>
      </c>
      <c r="D71" s="40" t="str">
        <f>IF($B71="","",(VLOOKUP($B$33,'[1]COMPLETE.protected'!#REF!,3,FALSE)))</f>
        <v/>
      </c>
      <c r="E71" s="40" t="str">
        <f>IF($B71="","",(VLOOKUP($B$33,'[1]COMPLETE.protected'!#REF!,4,FALSE)))</f>
        <v/>
      </c>
      <c r="F71" s="40"/>
      <c r="G71" s="40"/>
      <c r="H71" s="13" t="str">
        <f>IF($B71="","",(VLOOKUP($B$33,'[1]COMPLETE.protected'!#REF!,5,FALSE)))</f>
        <v/>
      </c>
    </row>
    <row r="72" spans="2:8" ht="10.5" customHeight="1" x14ac:dyDescent="0.2"/>
  </sheetData>
  <mergeCells count="2">
    <mergeCell ref="A1:I1"/>
    <mergeCell ref="A2:B2"/>
  </mergeCell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1476375</xdr:colOff>
                <xdr:row>42</xdr:row>
                <xdr:rowOff>152400</xdr:rowOff>
              </from>
              <to>
                <xdr:col>3</xdr:col>
                <xdr:colOff>352425</xdr:colOff>
                <xdr:row>46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A6636-8639-4D7E-AF35-741D84EF9AEB}">
  <sheetPr codeName="Sheet5">
    <tabColor theme="9"/>
  </sheetPr>
  <dimension ref="A1:H1191"/>
  <sheetViews>
    <sheetView workbookViewId="0">
      <selection sqref="A1:H1"/>
    </sheetView>
  </sheetViews>
  <sheetFormatPr defaultRowHeight="12.75" x14ac:dyDescent="0.2"/>
  <cols>
    <col min="1" max="1" width="15.85546875" style="39" bestFit="1" customWidth="1"/>
    <col min="2" max="2" width="38.5703125" bestFit="1" customWidth="1"/>
    <col min="3" max="3" width="11.7109375" style="38" customWidth="1"/>
    <col min="4" max="4" width="15.7109375" style="38" customWidth="1"/>
    <col min="5" max="5" width="12.7109375" style="38" customWidth="1"/>
    <col min="6" max="7" width="17.7109375" style="38" customWidth="1"/>
    <col min="8" max="8" width="17.7109375" style="39" customWidth="1"/>
    <col min="257" max="257" width="15.85546875" bestFit="1" customWidth="1"/>
    <col min="258" max="258" width="38.5703125" bestFit="1" customWidth="1"/>
    <col min="259" max="259" width="11.7109375" customWidth="1"/>
    <col min="260" max="260" width="15.7109375" customWidth="1"/>
    <col min="261" max="261" width="12.7109375" customWidth="1"/>
    <col min="262" max="264" width="17.7109375" customWidth="1"/>
    <col min="513" max="513" width="15.85546875" bestFit="1" customWidth="1"/>
    <col min="514" max="514" width="38.5703125" bestFit="1" customWidth="1"/>
    <col min="515" max="515" width="11.7109375" customWidth="1"/>
    <col min="516" max="516" width="15.7109375" customWidth="1"/>
    <col min="517" max="517" width="12.7109375" customWidth="1"/>
    <col min="518" max="520" width="17.7109375" customWidth="1"/>
    <col min="769" max="769" width="15.85546875" bestFit="1" customWidth="1"/>
    <col min="770" max="770" width="38.5703125" bestFit="1" customWidth="1"/>
    <col min="771" max="771" width="11.7109375" customWidth="1"/>
    <col min="772" max="772" width="15.7109375" customWidth="1"/>
    <col min="773" max="773" width="12.7109375" customWidth="1"/>
    <col min="774" max="776" width="17.7109375" customWidth="1"/>
    <col min="1025" max="1025" width="15.85546875" bestFit="1" customWidth="1"/>
    <col min="1026" max="1026" width="38.5703125" bestFit="1" customWidth="1"/>
    <col min="1027" max="1027" width="11.7109375" customWidth="1"/>
    <col min="1028" max="1028" width="15.7109375" customWidth="1"/>
    <col min="1029" max="1029" width="12.7109375" customWidth="1"/>
    <col min="1030" max="1032" width="17.7109375" customWidth="1"/>
    <col min="1281" max="1281" width="15.85546875" bestFit="1" customWidth="1"/>
    <col min="1282" max="1282" width="38.5703125" bestFit="1" customWidth="1"/>
    <col min="1283" max="1283" width="11.7109375" customWidth="1"/>
    <col min="1284" max="1284" width="15.7109375" customWidth="1"/>
    <col min="1285" max="1285" width="12.7109375" customWidth="1"/>
    <col min="1286" max="1288" width="17.7109375" customWidth="1"/>
    <col min="1537" max="1537" width="15.85546875" bestFit="1" customWidth="1"/>
    <col min="1538" max="1538" width="38.5703125" bestFit="1" customWidth="1"/>
    <col min="1539" max="1539" width="11.7109375" customWidth="1"/>
    <col min="1540" max="1540" width="15.7109375" customWidth="1"/>
    <col min="1541" max="1541" width="12.7109375" customWidth="1"/>
    <col min="1542" max="1544" width="17.7109375" customWidth="1"/>
    <col min="1793" max="1793" width="15.85546875" bestFit="1" customWidth="1"/>
    <col min="1794" max="1794" width="38.5703125" bestFit="1" customWidth="1"/>
    <col min="1795" max="1795" width="11.7109375" customWidth="1"/>
    <col min="1796" max="1796" width="15.7109375" customWidth="1"/>
    <col min="1797" max="1797" width="12.7109375" customWidth="1"/>
    <col min="1798" max="1800" width="17.7109375" customWidth="1"/>
    <col min="2049" max="2049" width="15.85546875" bestFit="1" customWidth="1"/>
    <col min="2050" max="2050" width="38.5703125" bestFit="1" customWidth="1"/>
    <col min="2051" max="2051" width="11.7109375" customWidth="1"/>
    <col min="2052" max="2052" width="15.7109375" customWidth="1"/>
    <col min="2053" max="2053" width="12.7109375" customWidth="1"/>
    <col min="2054" max="2056" width="17.7109375" customWidth="1"/>
    <col min="2305" max="2305" width="15.85546875" bestFit="1" customWidth="1"/>
    <col min="2306" max="2306" width="38.5703125" bestFit="1" customWidth="1"/>
    <col min="2307" max="2307" width="11.7109375" customWidth="1"/>
    <col min="2308" max="2308" width="15.7109375" customWidth="1"/>
    <col min="2309" max="2309" width="12.7109375" customWidth="1"/>
    <col min="2310" max="2312" width="17.7109375" customWidth="1"/>
    <col min="2561" max="2561" width="15.85546875" bestFit="1" customWidth="1"/>
    <col min="2562" max="2562" width="38.5703125" bestFit="1" customWidth="1"/>
    <col min="2563" max="2563" width="11.7109375" customWidth="1"/>
    <col min="2564" max="2564" width="15.7109375" customWidth="1"/>
    <col min="2565" max="2565" width="12.7109375" customWidth="1"/>
    <col min="2566" max="2568" width="17.7109375" customWidth="1"/>
    <col min="2817" max="2817" width="15.85546875" bestFit="1" customWidth="1"/>
    <col min="2818" max="2818" width="38.5703125" bestFit="1" customWidth="1"/>
    <col min="2819" max="2819" width="11.7109375" customWidth="1"/>
    <col min="2820" max="2820" width="15.7109375" customWidth="1"/>
    <col min="2821" max="2821" width="12.7109375" customWidth="1"/>
    <col min="2822" max="2824" width="17.7109375" customWidth="1"/>
    <col min="3073" max="3073" width="15.85546875" bestFit="1" customWidth="1"/>
    <col min="3074" max="3074" width="38.5703125" bestFit="1" customWidth="1"/>
    <col min="3075" max="3075" width="11.7109375" customWidth="1"/>
    <col min="3076" max="3076" width="15.7109375" customWidth="1"/>
    <col min="3077" max="3077" width="12.7109375" customWidth="1"/>
    <col min="3078" max="3080" width="17.7109375" customWidth="1"/>
    <col min="3329" max="3329" width="15.85546875" bestFit="1" customWidth="1"/>
    <col min="3330" max="3330" width="38.5703125" bestFit="1" customWidth="1"/>
    <col min="3331" max="3331" width="11.7109375" customWidth="1"/>
    <col min="3332" max="3332" width="15.7109375" customWidth="1"/>
    <col min="3333" max="3333" width="12.7109375" customWidth="1"/>
    <col min="3334" max="3336" width="17.7109375" customWidth="1"/>
    <col min="3585" max="3585" width="15.85546875" bestFit="1" customWidth="1"/>
    <col min="3586" max="3586" width="38.5703125" bestFit="1" customWidth="1"/>
    <col min="3587" max="3587" width="11.7109375" customWidth="1"/>
    <col min="3588" max="3588" width="15.7109375" customWidth="1"/>
    <col min="3589" max="3589" width="12.7109375" customWidth="1"/>
    <col min="3590" max="3592" width="17.7109375" customWidth="1"/>
    <col min="3841" max="3841" width="15.85546875" bestFit="1" customWidth="1"/>
    <col min="3842" max="3842" width="38.5703125" bestFit="1" customWidth="1"/>
    <col min="3843" max="3843" width="11.7109375" customWidth="1"/>
    <col min="3844" max="3844" width="15.7109375" customWidth="1"/>
    <col min="3845" max="3845" width="12.7109375" customWidth="1"/>
    <col min="3846" max="3848" width="17.7109375" customWidth="1"/>
    <col min="4097" max="4097" width="15.85546875" bestFit="1" customWidth="1"/>
    <col min="4098" max="4098" width="38.5703125" bestFit="1" customWidth="1"/>
    <col min="4099" max="4099" width="11.7109375" customWidth="1"/>
    <col min="4100" max="4100" width="15.7109375" customWidth="1"/>
    <col min="4101" max="4101" width="12.7109375" customWidth="1"/>
    <col min="4102" max="4104" width="17.7109375" customWidth="1"/>
    <col min="4353" max="4353" width="15.85546875" bestFit="1" customWidth="1"/>
    <col min="4354" max="4354" width="38.5703125" bestFit="1" customWidth="1"/>
    <col min="4355" max="4355" width="11.7109375" customWidth="1"/>
    <col min="4356" max="4356" width="15.7109375" customWidth="1"/>
    <col min="4357" max="4357" width="12.7109375" customWidth="1"/>
    <col min="4358" max="4360" width="17.7109375" customWidth="1"/>
    <col min="4609" max="4609" width="15.85546875" bestFit="1" customWidth="1"/>
    <col min="4610" max="4610" width="38.5703125" bestFit="1" customWidth="1"/>
    <col min="4611" max="4611" width="11.7109375" customWidth="1"/>
    <col min="4612" max="4612" width="15.7109375" customWidth="1"/>
    <col min="4613" max="4613" width="12.7109375" customWidth="1"/>
    <col min="4614" max="4616" width="17.7109375" customWidth="1"/>
    <col min="4865" max="4865" width="15.85546875" bestFit="1" customWidth="1"/>
    <col min="4866" max="4866" width="38.5703125" bestFit="1" customWidth="1"/>
    <col min="4867" max="4867" width="11.7109375" customWidth="1"/>
    <col min="4868" max="4868" width="15.7109375" customWidth="1"/>
    <col min="4869" max="4869" width="12.7109375" customWidth="1"/>
    <col min="4870" max="4872" width="17.7109375" customWidth="1"/>
    <col min="5121" max="5121" width="15.85546875" bestFit="1" customWidth="1"/>
    <col min="5122" max="5122" width="38.5703125" bestFit="1" customWidth="1"/>
    <col min="5123" max="5123" width="11.7109375" customWidth="1"/>
    <col min="5124" max="5124" width="15.7109375" customWidth="1"/>
    <col min="5125" max="5125" width="12.7109375" customWidth="1"/>
    <col min="5126" max="5128" width="17.7109375" customWidth="1"/>
    <col min="5377" max="5377" width="15.85546875" bestFit="1" customWidth="1"/>
    <col min="5378" max="5378" width="38.5703125" bestFit="1" customWidth="1"/>
    <col min="5379" max="5379" width="11.7109375" customWidth="1"/>
    <col min="5380" max="5380" width="15.7109375" customWidth="1"/>
    <col min="5381" max="5381" width="12.7109375" customWidth="1"/>
    <col min="5382" max="5384" width="17.7109375" customWidth="1"/>
    <col min="5633" max="5633" width="15.85546875" bestFit="1" customWidth="1"/>
    <col min="5634" max="5634" width="38.5703125" bestFit="1" customWidth="1"/>
    <col min="5635" max="5635" width="11.7109375" customWidth="1"/>
    <col min="5636" max="5636" width="15.7109375" customWidth="1"/>
    <col min="5637" max="5637" width="12.7109375" customWidth="1"/>
    <col min="5638" max="5640" width="17.7109375" customWidth="1"/>
    <col min="5889" max="5889" width="15.85546875" bestFit="1" customWidth="1"/>
    <col min="5890" max="5890" width="38.5703125" bestFit="1" customWidth="1"/>
    <col min="5891" max="5891" width="11.7109375" customWidth="1"/>
    <col min="5892" max="5892" width="15.7109375" customWidth="1"/>
    <col min="5893" max="5893" width="12.7109375" customWidth="1"/>
    <col min="5894" max="5896" width="17.7109375" customWidth="1"/>
    <col min="6145" max="6145" width="15.85546875" bestFit="1" customWidth="1"/>
    <col min="6146" max="6146" width="38.5703125" bestFit="1" customWidth="1"/>
    <col min="6147" max="6147" width="11.7109375" customWidth="1"/>
    <col min="6148" max="6148" width="15.7109375" customWidth="1"/>
    <col min="6149" max="6149" width="12.7109375" customWidth="1"/>
    <col min="6150" max="6152" width="17.7109375" customWidth="1"/>
    <col min="6401" max="6401" width="15.85546875" bestFit="1" customWidth="1"/>
    <col min="6402" max="6402" width="38.5703125" bestFit="1" customWidth="1"/>
    <col min="6403" max="6403" width="11.7109375" customWidth="1"/>
    <col min="6404" max="6404" width="15.7109375" customWidth="1"/>
    <col min="6405" max="6405" width="12.7109375" customWidth="1"/>
    <col min="6406" max="6408" width="17.7109375" customWidth="1"/>
    <col min="6657" max="6657" width="15.85546875" bestFit="1" customWidth="1"/>
    <col min="6658" max="6658" width="38.5703125" bestFit="1" customWidth="1"/>
    <col min="6659" max="6659" width="11.7109375" customWidth="1"/>
    <col min="6660" max="6660" width="15.7109375" customWidth="1"/>
    <col min="6661" max="6661" width="12.7109375" customWidth="1"/>
    <col min="6662" max="6664" width="17.7109375" customWidth="1"/>
    <col min="6913" max="6913" width="15.85546875" bestFit="1" customWidth="1"/>
    <col min="6914" max="6914" width="38.5703125" bestFit="1" customWidth="1"/>
    <col min="6915" max="6915" width="11.7109375" customWidth="1"/>
    <col min="6916" max="6916" width="15.7109375" customWidth="1"/>
    <col min="6917" max="6917" width="12.7109375" customWidth="1"/>
    <col min="6918" max="6920" width="17.7109375" customWidth="1"/>
    <col min="7169" max="7169" width="15.85546875" bestFit="1" customWidth="1"/>
    <col min="7170" max="7170" width="38.5703125" bestFit="1" customWidth="1"/>
    <col min="7171" max="7171" width="11.7109375" customWidth="1"/>
    <col min="7172" max="7172" width="15.7109375" customWidth="1"/>
    <col min="7173" max="7173" width="12.7109375" customWidth="1"/>
    <col min="7174" max="7176" width="17.7109375" customWidth="1"/>
    <col min="7425" max="7425" width="15.85546875" bestFit="1" customWidth="1"/>
    <col min="7426" max="7426" width="38.5703125" bestFit="1" customWidth="1"/>
    <col min="7427" max="7427" width="11.7109375" customWidth="1"/>
    <col min="7428" max="7428" width="15.7109375" customWidth="1"/>
    <col min="7429" max="7429" width="12.7109375" customWidth="1"/>
    <col min="7430" max="7432" width="17.7109375" customWidth="1"/>
    <col min="7681" max="7681" width="15.85546875" bestFit="1" customWidth="1"/>
    <col min="7682" max="7682" width="38.5703125" bestFit="1" customWidth="1"/>
    <col min="7683" max="7683" width="11.7109375" customWidth="1"/>
    <col min="7684" max="7684" width="15.7109375" customWidth="1"/>
    <col min="7685" max="7685" width="12.7109375" customWidth="1"/>
    <col min="7686" max="7688" width="17.7109375" customWidth="1"/>
    <col min="7937" max="7937" width="15.85546875" bestFit="1" customWidth="1"/>
    <col min="7938" max="7938" width="38.5703125" bestFit="1" customWidth="1"/>
    <col min="7939" max="7939" width="11.7109375" customWidth="1"/>
    <col min="7940" max="7940" width="15.7109375" customWidth="1"/>
    <col min="7941" max="7941" width="12.7109375" customWidth="1"/>
    <col min="7942" max="7944" width="17.7109375" customWidth="1"/>
    <col min="8193" max="8193" width="15.85546875" bestFit="1" customWidth="1"/>
    <col min="8194" max="8194" width="38.5703125" bestFit="1" customWidth="1"/>
    <col min="8195" max="8195" width="11.7109375" customWidth="1"/>
    <col min="8196" max="8196" width="15.7109375" customWidth="1"/>
    <col min="8197" max="8197" width="12.7109375" customWidth="1"/>
    <col min="8198" max="8200" width="17.7109375" customWidth="1"/>
    <col min="8449" max="8449" width="15.85546875" bestFit="1" customWidth="1"/>
    <col min="8450" max="8450" width="38.5703125" bestFit="1" customWidth="1"/>
    <col min="8451" max="8451" width="11.7109375" customWidth="1"/>
    <col min="8452" max="8452" width="15.7109375" customWidth="1"/>
    <col min="8453" max="8453" width="12.7109375" customWidth="1"/>
    <col min="8454" max="8456" width="17.7109375" customWidth="1"/>
    <col min="8705" max="8705" width="15.85546875" bestFit="1" customWidth="1"/>
    <col min="8706" max="8706" width="38.5703125" bestFit="1" customWidth="1"/>
    <col min="8707" max="8707" width="11.7109375" customWidth="1"/>
    <col min="8708" max="8708" width="15.7109375" customWidth="1"/>
    <col min="8709" max="8709" width="12.7109375" customWidth="1"/>
    <col min="8710" max="8712" width="17.7109375" customWidth="1"/>
    <col min="8961" max="8961" width="15.85546875" bestFit="1" customWidth="1"/>
    <col min="8962" max="8962" width="38.5703125" bestFit="1" customWidth="1"/>
    <col min="8963" max="8963" width="11.7109375" customWidth="1"/>
    <col min="8964" max="8964" width="15.7109375" customWidth="1"/>
    <col min="8965" max="8965" width="12.7109375" customWidth="1"/>
    <col min="8966" max="8968" width="17.7109375" customWidth="1"/>
    <col min="9217" max="9217" width="15.85546875" bestFit="1" customWidth="1"/>
    <col min="9218" max="9218" width="38.5703125" bestFit="1" customWidth="1"/>
    <col min="9219" max="9219" width="11.7109375" customWidth="1"/>
    <col min="9220" max="9220" width="15.7109375" customWidth="1"/>
    <col min="9221" max="9221" width="12.7109375" customWidth="1"/>
    <col min="9222" max="9224" width="17.7109375" customWidth="1"/>
    <col min="9473" max="9473" width="15.85546875" bestFit="1" customWidth="1"/>
    <col min="9474" max="9474" width="38.5703125" bestFit="1" customWidth="1"/>
    <col min="9475" max="9475" width="11.7109375" customWidth="1"/>
    <col min="9476" max="9476" width="15.7109375" customWidth="1"/>
    <col min="9477" max="9477" width="12.7109375" customWidth="1"/>
    <col min="9478" max="9480" width="17.7109375" customWidth="1"/>
    <col min="9729" max="9729" width="15.85546875" bestFit="1" customWidth="1"/>
    <col min="9730" max="9730" width="38.5703125" bestFit="1" customWidth="1"/>
    <col min="9731" max="9731" width="11.7109375" customWidth="1"/>
    <col min="9732" max="9732" width="15.7109375" customWidth="1"/>
    <col min="9733" max="9733" width="12.7109375" customWidth="1"/>
    <col min="9734" max="9736" width="17.7109375" customWidth="1"/>
    <col min="9985" max="9985" width="15.85546875" bestFit="1" customWidth="1"/>
    <col min="9986" max="9986" width="38.5703125" bestFit="1" customWidth="1"/>
    <col min="9987" max="9987" width="11.7109375" customWidth="1"/>
    <col min="9988" max="9988" width="15.7109375" customWidth="1"/>
    <col min="9989" max="9989" width="12.7109375" customWidth="1"/>
    <col min="9990" max="9992" width="17.7109375" customWidth="1"/>
    <col min="10241" max="10241" width="15.85546875" bestFit="1" customWidth="1"/>
    <col min="10242" max="10242" width="38.5703125" bestFit="1" customWidth="1"/>
    <col min="10243" max="10243" width="11.7109375" customWidth="1"/>
    <col min="10244" max="10244" width="15.7109375" customWidth="1"/>
    <col min="10245" max="10245" width="12.7109375" customWidth="1"/>
    <col min="10246" max="10248" width="17.7109375" customWidth="1"/>
    <col min="10497" max="10497" width="15.85546875" bestFit="1" customWidth="1"/>
    <col min="10498" max="10498" width="38.5703125" bestFit="1" customWidth="1"/>
    <col min="10499" max="10499" width="11.7109375" customWidth="1"/>
    <col min="10500" max="10500" width="15.7109375" customWidth="1"/>
    <col min="10501" max="10501" width="12.7109375" customWidth="1"/>
    <col min="10502" max="10504" width="17.7109375" customWidth="1"/>
    <col min="10753" max="10753" width="15.85546875" bestFit="1" customWidth="1"/>
    <col min="10754" max="10754" width="38.5703125" bestFit="1" customWidth="1"/>
    <col min="10755" max="10755" width="11.7109375" customWidth="1"/>
    <col min="10756" max="10756" width="15.7109375" customWidth="1"/>
    <col min="10757" max="10757" width="12.7109375" customWidth="1"/>
    <col min="10758" max="10760" width="17.7109375" customWidth="1"/>
    <col min="11009" max="11009" width="15.85546875" bestFit="1" customWidth="1"/>
    <col min="11010" max="11010" width="38.5703125" bestFit="1" customWidth="1"/>
    <col min="11011" max="11011" width="11.7109375" customWidth="1"/>
    <col min="11012" max="11012" width="15.7109375" customWidth="1"/>
    <col min="11013" max="11013" width="12.7109375" customWidth="1"/>
    <col min="11014" max="11016" width="17.7109375" customWidth="1"/>
    <col min="11265" max="11265" width="15.85546875" bestFit="1" customWidth="1"/>
    <col min="11266" max="11266" width="38.5703125" bestFit="1" customWidth="1"/>
    <col min="11267" max="11267" width="11.7109375" customWidth="1"/>
    <col min="11268" max="11268" width="15.7109375" customWidth="1"/>
    <col min="11269" max="11269" width="12.7109375" customWidth="1"/>
    <col min="11270" max="11272" width="17.7109375" customWidth="1"/>
    <col min="11521" max="11521" width="15.85546875" bestFit="1" customWidth="1"/>
    <col min="11522" max="11522" width="38.5703125" bestFit="1" customWidth="1"/>
    <col min="11523" max="11523" width="11.7109375" customWidth="1"/>
    <col min="11524" max="11524" width="15.7109375" customWidth="1"/>
    <col min="11525" max="11525" width="12.7109375" customWidth="1"/>
    <col min="11526" max="11528" width="17.7109375" customWidth="1"/>
    <col min="11777" max="11777" width="15.85546875" bestFit="1" customWidth="1"/>
    <col min="11778" max="11778" width="38.5703125" bestFit="1" customWidth="1"/>
    <col min="11779" max="11779" width="11.7109375" customWidth="1"/>
    <col min="11780" max="11780" width="15.7109375" customWidth="1"/>
    <col min="11781" max="11781" width="12.7109375" customWidth="1"/>
    <col min="11782" max="11784" width="17.7109375" customWidth="1"/>
    <col min="12033" max="12033" width="15.85546875" bestFit="1" customWidth="1"/>
    <col min="12034" max="12034" width="38.5703125" bestFit="1" customWidth="1"/>
    <col min="12035" max="12035" width="11.7109375" customWidth="1"/>
    <col min="12036" max="12036" width="15.7109375" customWidth="1"/>
    <col min="12037" max="12037" width="12.7109375" customWidth="1"/>
    <col min="12038" max="12040" width="17.7109375" customWidth="1"/>
    <col min="12289" max="12289" width="15.85546875" bestFit="1" customWidth="1"/>
    <col min="12290" max="12290" width="38.5703125" bestFit="1" customWidth="1"/>
    <col min="12291" max="12291" width="11.7109375" customWidth="1"/>
    <col min="12292" max="12292" width="15.7109375" customWidth="1"/>
    <col min="12293" max="12293" width="12.7109375" customWidth="1"/>
    <col min="12294" max="12296" width="17.7109375" customWidth="1"/>
    <col min="12545" max="12545" width="15.85546875" bestFit="1" customWidth="1"/>
    <col min="12546" max="12546" width="38.5703125" bestFit="1" customWidth="1"/>
    <col min="12547" max="12547" width="11.7109375" customWidth="1"/>
    <col min="12548" max="12548" width="15.7109375" customWidth="1"/>
    <col min="12549" max="12549" width="12.7109375" customWidth="1"/>
    <col min="12550" max="12552" width="17.7109375" customWidth="1"/>
    <col min="12801" max="12801" width="15.85546875" bestFit="1" customWidth="1"/>
    <col min="12802" max="12802" width="38.5703125" bestFit="1" customWidth="1"/>
    <col min="12803" max="12803" width="11.7109375" customWidth="1"/>
    <col min="12804" max="12804" width="15.7109375" customWidth="1"/>
    <col min="12805" max="12805" width="12.7109375" customWidth="1"/>
    <col min="12806" max="12808" width="17.7109375" customWidth="1"/>
    <col min="13057" max="13057" width="15.85546875" bestFit="1" customWidth="1"/>
    <col min="13058" max="13058" width="38.5703125" bestFit="1" customWidth="1"/>
    <col min="13059" max="13059" width="11.7109375" customWidth="1"/>
    <col min="13060" max="13060" width="15.7109375" customWidth="1"/>
    <col min="13061" max="13061" width="12.7109375" customWidth="1"/>
    <col min="13062" max="13064" width="17.7109375" customWidth="1"/>
    <col min="13313" max="13313" width="15.85546875" bestFit="1" customWidth="1"/>
    <col min="13314" max="13314" width="38.5703125" bestFit="1" customWidth="1"/>
    <col min="13315" max="13315" width="11.7109375" customWidth="1"/>
    <col min="13316" max="13316" width="15.7109375" customWidth="1"/>
    <col min="13317" max="13317" width="12.7109375" customWidth="1"/>
    <col min="13318" max="13320" width="17.7109375" customWidth="1"/>
    <col min="13569" max="13569" width="15.85546875" bestFit="1" customWidth="1"/>
    <col min="13570" max="13570" width="38.5703125" bestFit="1" customWidth="1"/>
    <col min="13571" max="13571" width="11.7109375" customWidth="1"/>
    <col min="13572" max="13572" width="15.7109375" customWidth="1"/>
    <col min="13573" max="13573" width="12.7109375" customWidth="1"/>
    <col min="13574" max="13576" width="17.7109375" customWidth="1"/>
    <col min="13825" max="13825" width="15.85546875" bestFit="1" customWidth="1"/>
    <col min="13826" max="13826" width="38.5703125" bestFit="1" customWidth="1"/>
    <col min="13827" max="13827" width="11.7109375" customWidth="1"/>
    <col min="13828" max="13828" width="15.7109375" customWidth="1"/>
    <col min="13829" max="13829" width="12.7109375" customWidth="1"/>
    <col min="13830" max="13832" width="17.7109375" customWidth="1"/>
    <col min="14081" max="14081" width="15.85546875" bestFit="1" customWidth="1"/>
    <col min="14082" max="14082" width="38.5703125" bestFit="1" customWidth="1"/>
    <col min="14083" max="14083" width="11.7109375" customWidth="1"/>
    <col min="14084" max="14084" width="15.7109375" customWidth="1"/>
    <col min="14085" max="14085" width="12.7109375" customWidth="1"/>
    <col min="14086" max="14088" width="17.7109375" customWidth="1"/>
    <col min="14337" max="14337" width="15.85546875" bestFit="1" customWidth="1"/>
    <col min="14338" max="14338" width="38.5703125" bestFit="1" customWidth="1"/>
    <col min="14339" max="14339" width="11.7109375" customWidth="1"/>
    <col min="14340" max="14340" width="15.7109375" customWidth="1"/>
    <col min="14341" max="14341" width="12.7109375" customWidth="1"/>
    <col min="14342" max="14344" width="17.7109375" customWidth="1"/>
    <col min="14593" max="14593" width="15.85546875" bestFit="1" customWidth="1"/>
    <col min="14594" max="14594" width="38.5703125" bestFit="1" customWidth="1"/>
    <col min="14595" max="14595" width="11.7109375" customWidth="1"/>
    <col min="14596" max="14596" width="15.7109375" customWidth="1"/>
    <col min="14597" max="14597" width="12.7109375" customWidth="1"/>
    <col min="14598" max="14600" width="17.7109375" customWidth="1"/>
    <col min="14849" max="14849" width="15.85546875" bestFit="1" customWidth="1"/>
    <col min="14850" max="14850" width="38.5703125" bestFit="1" customWidth="1"/>
    <col min="14851" max="14851" width="11.7109375" customWidth="1"/>
    <col min="14852" max="14852" width="15.7109375" customWidth="1"/>
    <col min="14853" max="14853" width="12.7109375" customWidth="1"/>
    <col min="14854" max="14856" width="17.7109375" customWidth="1"/>
    <col min="15105" max="15105" width="15.85546875" bestFit="1" customWidth="1"/>
    <col min="15106" max="15106" width="38.5703125" bestFit="1" customWidth="1"/>
    <col min="15107" max="15107" width="11.7109375" customWidth="1"/>
    <col min="15108" max="15108" width="15.7109375" customWidth="1"/>
    <col min="15109" max="15109" width="12.7109375" customWidth="1"/>
    <col min="15110" max="15112" width="17.7109375" customWidth="1"/>
    <col min="15361" max="15361" width="15.85546875" bestFit="1" customWidth="1"/>
    <col min="15362" max="15362" width="38.5703125" bestFit="1" customWidth="1"/>
    <col min="15363" max="15363" width="11.7109375" customWidth="1"/>
    <col min="15364" max="15364" width="15.7109375" customWidth="1"/>
    <col min="15365" max="15365" width="12.7109375" customWidth="1"/>
    <col min="15366" max="15368" width="17.7109375" customWidth="1"/>
    <col min="15617" max="15617" width="15.85546875" bestFit="1" customWidth="1"/>
    <col min="15618" max="15618" width="38.5703125" bestFit="1" customWidth="1"/>
    <col min="15619" max="15619" width="11.7109375" customWidth="1"/>
    <col min="15620" max="15620" width="15.7109375" customWidth="1"/>
    <col min="15621" max="15621" width="12.7109375" customWidth="1"/>
    <col min="15622" max="15624" width="17.7109375" customWidth="1"/>
    <col min="15873" max="15873" width="15.85546875" bestFit="1" customWidth="1"/>
    <col min="15874" max="15874" width="38.5703125" bestFit="1" customWidth="1"/>
    <col min="15875" max="15875" width="11.7109375" customWidth="1"/>
    <col min="15876" max="15876" width="15.7109375" customWidth="1"/>
    <col min="15877" max="15877" width="12.7109375" customWidth="1"/>
    <col min="15878" max="15880" width="17.7109375" customWidth="1"/>
    <col min="16129" max="16129" width="15.85546875" bestFit="1" customWidth="1"/>
    <col min="16130" max="16130" width="38.5703125" bestFit="1" customWidth="1"/>
    <col min="16131" max="16131" width="11.7109375" customWidth="1"/>
    <col min="16132" max="16132" width="15.7109375" customWidth="1"/>
    <col min="16133" max="16133" width="12.7109375" customWidth="1"/>
    <col min="16134" max="16136" width="17.7109375" customWidth="1"/>
  </cols>
  <sheetData>
    <row r="1" spans="1:8" ht="36" customHeight="1" thickBot="1" x14ac:dyDescent="0.25">
      <c r="A1" s="63" t="s">
        <v>9</v>
      </c>
      <c r="B1" s="64"/>
      <c r="C1" s="64"/>
      <c r="D1" s="64"/>
      <c r="E1" s="64"/>
      <c r="F1" s="64"/>
      <c r="G1" s="64"/>
      <c r="H1" s="65"/>
    </row>
    <row r="2" spans="1:8" s="20" customFormat="1" ht="9" customHeight="1" thickBot="1" x14ac:dyDescent="0.3">
      <c r="A2" s="72"/>
      <c r="B2" s="17"/>
      <c r="C2" s="18"/>
      <c r="D2" s="18"/>
      <c r="E2" s="18"/>
      <c r="F2" s="18"/>
      <c r="G2" s="18"/>
      <c r="H2" s="19"/>
    </row>
    <row r="3" spans="1:8" x14ac:dyDescent="0.2">
      <c r="A3" s="21" t="s">
        <v>1</v>
      </c>
      <c r="B3" s="22" t="s">
        <v>2</v>
      </c>
      <c r="C3" s="53" t="s">
        <v>3</v>
      </c>
      <c r="D3" s="54" t="s">
        <v>4</v>
      </c>
      <c r="E3" s="23" t="s">
        <v>10</v>
      </c>
      <c r="F3" s="23" t="s">
        <v>6</v>
      </c>
      <c r="G3" s="24" t="s">
        <v>7</v>
      </c>
      <c r="H3" s="25" t="s">
        <v>11</v>
      </c>
    </row>
    <row r="4" spans="1:8" x14ac:dyDescent="0.2">
      <c r="A4" s="32">
        <v>67</v>
      </c>
      <c r="B4" s="27" t="s">
        <v>12</v>
      </c>
      <c r="C4" s="55">
        <v>1.2075</v>
      </c>
      <c r="D4" s="55">
        <v>0.54337500000000005</v>
      </c>
      <c r="E4" s="28" t="s">
        <v>954</v>
      </c>
      <c r="F4" s="55">
        <v>0.50533875000000006</v>
      </c>
      <c r="G4" s="29">
        <v>44652</v>
      </c>
      <c r="H4" s="30">
        <v>44926</v>
      </c>
    </row>
    <row r="5" spans="1:8" x14ac:dyDescent="0.2">
      <c r="A5" s="32">
        <v>1156</v>
      </c>
      <c r="B5" s="27" t="s">
        <v>13</v>
      </c>
      <c r="C5" s="55">
        <v>1.2389999999999999</v>
      </c>
      <c r="D5" s="55">
        <v>0.55754999999999999</v>
      </c>
      <c r="E5" s="28" t="s">
        <v>954</v>
      </c>
      <c r="F5" s="55">
        <v>0.51852149999999997</v>
      </c>
      <c r="G5" s="29">
        <v>44652</v>
      </c>
      <c r="H5" s="30">
        <v>44926</v>
      </c>
    </row>
    <row r="6" spans="1:8" x14ac:dyDescent="0.2">
      <c r="A6" s="32">
        <v>1662</v>
      </c>
      <c r="B6" s="27" t="s">
        <v>968</v>
      </c>
      <c r="C6" s="55">
        <v>4.7250000000000005</v>
      </c>
      <c r="D6" s="55">
        <v>2.1262500000000002</v>
      </c>
      <c r="E6" s="28" t="s">
        <v>954</v>
      </c>
      <c r="F6" s="55">
        <v>1.9774125000000002</v>
      </c>
      <c r="G6" s="29">
        <v>44652</v>
      </c>
      <c r="H6" s="30">
        <v>44926</v>
      </c>
    </row>
    <row r="7" spans="1:8" x14ac:dyDescent="0.2">
      <c r="A7" s="32">
        <v>1665</v>
      </c>
      <c r="B7" s="27" t="s">
        <v>14</v>
      </c>
      <c r="C7" s="55">
        <v>10.216500000000002</v>
      </c>
      <c r="D7" s="55">
        <v>4.5974250000000012</v>
      </c>
      <c r="E7" s="28" t="s">
        <v>954</v>
      </c>
      <c r="F7" s="55">
        <v>4.2756052500000017</v>
      </c>
      <c r="G7" s="29">
        <v>44652</v>
      </c>
      <c r="H7" s="30">
        <v>44926</v>
      </c>
    </row>
    <row r="8" spans="1:8" x14ac:dyDescent="0.2">
      <c r="A8" s="32">
        <v>1683</v>
      </c>
      <c r="B8" s="27" t="s">
        <v>964</v>
      </c>
      <c r="C8" s="55">
        <v>8.4600000000000009</v>
      </c>
      <c r="D8" s="55">
        <v>3.8070000000000004</v>
      </c>
      <c r="E8" s="28" t="s">
        <v>954</v>
      </c>
      <c r="F8" s="55">
        <v>3.5405100000000007</v>
      </c>
      <c r="G8" s="29">
        <v>44652</v>
      </c>
      <c r="H8" s="30">
        <v>44926</v>
      </c>
    </row>
    <row r="9" spans="1:8" x14ac:dyDescent="0.2">
      <c r="A9" s="32">
        <v>4411</v>
      </c>
      <c r="B9" s="27" t="s">
        <v>965</v>
      </c>
      <c r="C9" s="55">
        <v>16.516500000000001</v>
      </c>
      <c r="D9" s="55">
        <v>7.4324250000000003</v>
      </c>
      <c r="E9" s="28" t="s">
        <v>954</v>
      </c>
      <c r="F9" s="55">
        <v>6.9121552500000005</v>
      </c>
      <c r="G9" s="29">
        <v>44652</v>
      </c>
      <c r="H9" s="30">
        <v>44926</v>
      </c>
    </row>
    <row r="10" spans="1:8" x14ac:dyDescent="0.2">
      <c r="A10" s="32">
        <v>4416</v>
      </c>
      <c r="B10" s="27" t="s">
        <v>15</v>
      </c>
      <c r="C10" s="55">
        <v>15.7605</v>
      </c>
      <c r="D10" s="55">
        <v>7.092225</v>
      </c>
      <c r="E10" s="28" t="s">
        <v>954</v>
      </c>
      <c r="F10" s="55">
        <v>6.59576925</v>
      </c>
      <c r="G10" s="29">
        <v>44652</v>
      </c>
      <c r="H10" s="30">
        <v>44926</v>
      </c>
    </row>
    <row r="11" spans="1:8" x14ac:dyDescent="0.2">
      <c r="A11" s="32">
        <v>4466</v>
      </c>
      <c r="B11" s="27" t="s">
        <v>16</v>
      </c>
      <c r="C11" s="55">
        <v>15.7605</v>
      </c>
      <c r="D11" s="55">
        <v>7.092225</v>
      </c>
      <c r="E11" s="28" t="s">
        <v>954</v>
      </c>
      <c r="F11" s="55">
        <v>6.59576925</v>
      </c>
      <c r="G11" s="29">
        <v>44652</v>
      </c>
      <c r="H11" s="30">
        <v>44926</v>
      </c>
    </row>
    <row r="12" spans="1:8" x14ac:dyDescent="0.2">
      <c r="A12" s="32">
        <v>4593</v>
      </c>
      <c r="B12" s="27" t="s">
        <v>17</v>
      </c>
      <c r="C12" s="55">
        <v>41.03</v>
      </c>
      <c r="D12" s="55">
        <v>18.4635</v>
      </c>
      <c r="E12" s="28" t="s">
        <v>954</v>
      </c>
      <c r="F12" s="55">
        <v>17.171054999999999</v>
      </c>
      <c r="G12" s="29">
        <v>44652</v>
      </c>
      <c r="H12" s="30">
        <v>44926</v>
      </c>
    </row>
    <row r="13" spans="1:8" x14ac:dyDescent="0.2">
      <c r="A13" s="32">
        <v>17387</v>
      </c>
      <c r="B13" s="27" t="s">
        <v>18</v>
      </c>
      <c r="C13" s="55">
        <v>20.674500000000002</v>
      </c>
      <c r="D13" s="55">
        <v>9.3035250000000005</v>
      </c>
      <c r="E13" s="28" t="s">
        <v>8</v>
      </c>
      <c r="F13" s="55"/>
      <c r="G13" s="29">
        <v>44652</v>
      </c>
      <c r="H13" s="30">
        <v>44926</v>
      </c>
    </row>
    <row r="14" spans="1:8" x14ac:dyDescent="0.2">
      <c r="A14" s="32">
        <v>18329</v>
      </c>
      <c r="B14" s="27" t="s">
        <v>19</v>
      </c>
      <c r="C14" s="55">
        <v>0.65100000000000002</v>
      </c>
      <c r="D14" s="55">
        <v>0.29295000000000004</v>
      </c>
      <c r="E14" s="28" t="s">
        <v>8</v>
      </c>
      <c r="F14" s="55"/>
      <c r="G14" s="29">
        <v>44652</v>
      </c>
      <c r="H14" s="30">
        <v>44926</v>
      </c>
    </row>
    <row r="15" spans="1:8" x14ac:dyDescent="0.2">
      <c r="A15" s="32">
        <v>18675</v>
      </c>
      <c r="B15" s="27" t="s">
        <v>1001</v>
      </c>
      <c r="C15" s="55">
        <v>43.84</v>
      </c>
      <c r="D15" s="55">
        <v>19.728000000000002</v>
      </c>
      <c r="E15" s="28" t="s">
        <v>8</v>
      </c>
      <c r="F15" s="55"/>
      <c r="G15" s="29">
        <v>44652</v>
      </c>
      <c r="H15" s="30">
        <v>44926</v>
      </c>
    </row>
    <row r="16" spans="1:8" x14ac:dyDescent="0.2">
      <c r="A16" s="32">
        <v>27904</v>
      </c>
      <c r="B16" s="27" t="s">
        <v>1277</v>
      </c>
      <c r="C16" s="55">
        <v>50</v>
      </c>
      <c r="D16" s="55">
        <v>22.5</v>
      </c>
      <c r="E16" s="28"/>
      <c r="F16" s="55"/>
      <c r="G16" s="29">
        <v>44652</v>
      </c>
      <c r="H16" s="30">
        <v>44926</v>
      </c>
    </row>
    <row r="17" spans="1:8" x14ac:dyDescent="0.2">
      <c r="A17" s="32">
        <v>200011</v>
      </c>
      <c r="B17" s="27" t="s">
        <v>20</v>
      </c>
      <c r="C17" s="55">
        <v>18.149999999999999</v>
      </c>
      <c r="D17" s="55">
        <v>8.1675000000000004</v>
      </c>
      <c r="E17" s="28" t="s">
        <v>954</v>
      </c>
      <c r="F17" s="55">
        <v>7.5957750000000006</v>
      </c>
      <c r="G17" s="29">
        <v>44652</v>
      </c>
      <c r="H17" s="30">
        <v>44926</v>
      </c>
    </row>
    <row r="18" spans="1:8" x14ac:dyDescent="0.2">
      <c r="A18" s="32">
        <v>200012</v>
      </c>
      <c r="B18" s="27" t="s">
        <v>21</v>
      </c>
      <c r="C18" s="55">
        <v>18.73</v>
      </c>
      <c r="D18" s="55">
        <v>8.4284999999999997</v>
      </c>
      <c r="E18" s="28" t="s">
        <v>954</v>
      </c>
      <c r="F18" s="55">
        <v>7.8385050000000005</v>
      </c>
      <c r="G18" s="29">
        <v>44652</v>
      </c>
      <c r="H18" s="30">
        <v>44926</v>
      </c>
    </row>
    <row r="19" spans="1:8" x14ac:dyDescent="0.2">
      <c r="A19" s="32">
        <v>200013</v>
      </c>
      <c r="B19" s="27" t="s">
        <v>22</v>
      </c>
      <c r="C19" s="55">
        <v>78.55</v>
      </c>
      <c r="D19" s="55">
        <v>35.347499999999997</v>
      </c>
      <c r="E19" s="28" t="s">
        <v>954</v>
      </c>
      <c r="F19" s="55">
        <v>32.873174999999996</v>
      </c>
      <c r="G19" s="29">
        <v>44652</v>
      </c>
      <c r="H19" s="30">
        <v>44926</v>
      </c>
    </row>
    <row r="20" spans="1:8" x14ac:dyDescent="0.2">
      <c r="A20" s="32">
        <v>200015</v>
      </c>
      <c r="B20" s="27" t="s">
        <v>23</v>
      </c>
      <c r="C20" s="55">
        <v>142.30000000000001</v>
      </c>
      <c r="D20" s="55">
        <v>64.035000000000011</v>
      </c>
      <c r="E20" s="28" t="s">
        <v>954</v>
      </c>
      <c r="F20" s="55">
        <v>59.552550000000011</v>
      </c>
      <c r="G20" s="29">
        <v>44652</v>
      </c>
      <c r="H20" s="30">
        <v>44926</v>
      </c>
    </row>
    <row r="21" spans="1:8" x14ac:dyDescent="0.2">
      <c r="A21" s="32">
        <v>200017</v>
      </c>
      <c r="B21" s="27" t="s">
        <v>24</v>
      </c>
      <c r="C21" s="55">
        <v>16.079999999999998</v>
      </c>
      <c r="D21" s="55">
        <v>7.2359999999999998</v>
      </c>
      <c r="E21" s="28" t="s">
        <v>954</v>
      </c>
      <c r="F21" s="55">
        <v>6.7294800000000006</v>
      </c>
      <c r="G21" s="29">
        <v>44652</v>
      </c>
      <c r="H21" s="30">
        <v>44926</v>
      </c>
    </row>
    <row r="22" spans="1:8" x14ac:dyDescent="0.2">
      <c r="A22" s="32">
        <v>200018</v>
      </c>
      <c r="B22" s="27" t="s">
        <v>25</v>
      </c>
      <c r="C22" s="55">
        <v>20.93</v>
      </c>
      <c r="D22" s="55">
        <v>9.4184999999999999</v>
      </c>
      <c r="E22" s="28" t="s">
        <v>954</v>
      </c>
      <c r="F22" s="55">
        <v>8.7592049999999997</v>
      </c>
      <c r="G22" s="29">
        <v>44652</v>
      </c>
      <c r="H22" s="30">
        <v>44926</v>
      </c>
    </row>
    <row r="23" spans="1:8" x14ac:dyDescent="0.2">
      <c r="A23" s="32">
        <v>200023</v>
      </c>
      <c r="B23" s="27" t="s">
        <v>26</v>
      </c>
      <c r="C23" s="55">
        <v>21.17</v>
      </c>
      <c r="D23" s="55">
        <v>9.5265000000000004</v>
      </c>
      <c r="E23" s="28" t="s">
        <v>954</v>
      </c>
      <c r="F23" s="55">
        <v>8.8596450000000004</v>
      </c>
      <c r="G23" s="29">
        <v>44652</v>
      </c>
      <c r="H23" s="30">
        <v>44926</v>
      </c>
    </row>
    <row r="24" spans="1:8" x14ac:dyDescent="0.2">
      <c r="A24" s="32">
        <v>200024</v>
      </c>
      <c r="B24" s="27" t="s">
        <v>27</v>
      </c>
      <c r="C24" s="55">
        <v>22.75</v>
      </c>
      <c r="D24" s="55">
        <v>10.237500000000001</v>
      </c>
      <c r="E24" s="28" t="s">
        <v>954</v>
      </c>
      <c r="F24" s="55">
        <v>9.520875000000002</v>
      </c>
      <c r="G24" s="29">
        <v>44652</v>
      </c>
      <c r="H24" s="30">
        <v>44926</v>
      </c>
    </row>
    <row r="25" spans="1:8" x14ac:dyDescent="0.2">
      <c r="A25" s="32">
        <v>200211</v>
      </c>
      <c r="B25" s="27" t="s">
        <v>28</v>
      </c>
      <c r="C25" s="55">
        <v>36.477000000000004</v>
      </c>
      <c r="D25" s="55">
        <v>16.414650000000002</v>
      </c>
      <c r="E25" s="28" t="s">
        <v>954</v>
      </c>
      <c r="F25" s="55">
        <v>15.265624500000003</v>
      </c>
      <c r="G25" s="29">
        <v>44652</v>
      </c>
      <c r="H25" s="30">
        <v>44926</v>
      </c>
    </row>
    <row r="26" spans="1:8" x14ac:dyDescent="0.2">
      <c r="A26" s="32">
        <v>200212</v>
      </c>
      <c r="B26" s="27" t="s">
        <v>29</v>
      </c>
      <c r="C26" s="55">
        <v>41.4</v>
      </c>
      <c r="D26" s="55">
        <v>18.63</v>
      </c>
      <c r="E26" s="28" t="s">
        <v>954</v>
      </c>
      <c r="F26" s="55">
        <v>17.325900000000001</v>
      </c>
      <c r="G26" s="29">
        <v>44652</v>
      </c>
      <c r="H26" s="30">
        <v>44926</v>
      </c>
    </row>
    <row r="27" spans="1:8" x14ac:dyDescent="0.2">
      <c r="A27" s="32">
        <v>200213</v>
      </c>
      <c r="B27" s="27" t="s">
        <v>30</v>
      </c>
      <c r="C27" s="55">
        <v>139.30000000000001</v>
      </c>
      <c r="D27" s="55">
        <v>62.685000000000009</v>
      </c>
      <c r="E27" s="28" t="s">
        <v>954</v>
      </c>
      <c r="F27" s="55">
        <v>58.297050000000013</v>
      </c>
      <c r="G27" s="29">
        <v>44652</v>
      </c>
      <c r="H27" s="30">
        <v>44926</v>
      </c>
    </row>
    <row r="28" spans="1:8" x14ac:dyDescent="0.2">
      <c r="A28" s="32">
        <v>200215</v>
      </c>
      <c r="B28" s="27" t="s">
        <v>31</v>
      </c>
      <c r="C28" s="55">
        <v>195.15</v>
      </c>
      <c r="D28" s="55">
        <v>87.81750000000001</v>
      </c>
      <c r="E28" s="28" t="s">
        <v>954</v>
      </c>
      <c r="F28" s="55">
        <v>81.670275000000018</v>
      </c>
      <c r="G28" s="29">
        <v>44652</v>
      </c>
      <c r="H28" s="30">
        <v>44926</v>
      </c>
    </row>
    <row r="29" spans="1:8" x14ac:dyDescent="0.2">
      <c r="A29" s="32">
        <v>200216</v>
      </c>
      <c r="B29" s="27" t="s">
        <v>1313</v>
      </c>
      <c r="C29" s="55">
        <v>245</v>
      </c>
      <c r="D29" s="55">
        <v>110.25</v>
      </c>
      <c r="E29" s="28" t="s">
        <v>954</v>
      </c>
      <c r="F29" s="55">
        <v>102.5325</v>
      </c>
      <c r="G29" s="29">
        <v>44652</v>
      </c>
      <c r="H29" s="30">
        <v>44926</v>
      </c>
    </row>
    <row r="30" spans="1:8" x14ac:dyDescent="0.2">
      <c r="A30" s="32">
        <v>200217</v>
      </c>
      <c r="B30" s="27" t="s">
        <v>32</v>
      </c>
      <c r="C30" s="55">
        <v>37.936500000000002</v>
      </c>
      <c r="D30" s="55">
        <v>17.071425000000001</v>
      </c>
      <c r="E30" s="28" t="s">
        <v>954</v>
      </c>
      <c r="F30" s="55">
        <v>15.876425250000002</v>
      </c>
      <c r="G30" s="29">
        <v>44652</v>
      </c>
      <c r="H30" s="30">
        <v>44926</v>
      </c>
    </row>
    <row r="31" spans="1:8" x14ac:dyDescent="0.2">
      <c r="A31" s="32">
        <v>200218</v>
      </c>
      <c r="B31" s="27" t="s">
        <v>33</v>
      </c>
      <c r="C31" s="55">
        <v>41.4</v>
      </c>
      <c r="D31" s="55">
        <v>18.63</v>
      </c>
      <c r="E31" s="28" t="s">
        <v>954</v>
      </c>
      <c r="F31" s="55">
        <v>17.325900000000001</v>
      </c>
      <c r="G31" s="29">
        <v>44652</v>
      </c>
      <c r="H31" s="30">
        <v>44926</v>
      </c>
    </row>
    <row r="32" spans="1:8" x14ac:dyDescent="0.2">
      <c r="A32" s="32">
        <v>200224</v>
      </c>
      <c r="B32" s="27" t="s">
        <v>34</v>
      </c>
      <c r="C32" s="55">
        <v>64.354500000000002</v>
      </c>
      <c r="D32" s="55">
        <v>28.959525000000003</v>
      </c>
      <c r="E32" s="28" t="s">
        <v>954</v>
      </c>
      <c r="F32" s="55">
        <v>26.932358250000004</v>
      </c>
      <c r="G32" s="29">
        <v>44652</v>
      </c>
      <c r="H32" s="30">
        <v>44926</v>
      </c>
    </row>
    <row r="33" spans="1:8" x14ac:dyDescent="0.2">
      <c r="A33" s="32">
        <v>201201</v>
      </c>
      <c r="B33" s="27" t="s">
        <v>35</v>
      </c>
      <c r="C33" s="55">
        <v>27.016500000000001</v>
      </c>
      <c r="D33" s="55">
        <v>12.157425</v>
      </c>
      <c r="E33" s="28" t="s">
        <v>954</v>
      </c>
      <c r="F33" s="55">
        <v>11.306405250000001</v>
      </c>
      <c r="G33" s="29">
        <v>44652</v>
      </c>
      <c r="H33" s="30">
        <v>44926</v>
      </c>
    </row>
    <row r="34" spans="1:8" x14ac:dyDescent="0.2">
      <c r="A34" s="32">
        <v>201202</v>
      </c>
      <c r="B34" s="27" t="s">
        <v>36</v>
      </c>
      <c r="C34" s="55">
        <v>27.016500000000001</v>
      </c>
      <c r="D34" s="55">
        <v>12.157425</v>
      </c>
      <c r="E34" s="28" t="s">
        <v>954</v>
      </c>
      <c r="F34" s="55">
        <v>11.306405250000001</v>
      </c>
      <c r="G34" s="29">
        <v>44652</v>
      </c>
      <c r="H34" s="30">
        <v>44926</v>
      </c>
    </row>
    <row r="35" spans="1:8" x14ac:dyDescent="0.2">
      <c r="A35" s="32">
        <v>201203</v>
      </c>
      <c r="B35" s="27" t="s">
        <v>35</v>
      </c>
      <c r="C35" s="55">
        <v>27.016500000000001</v>
      </c>
      <c r="D35" s="55">
        <v>12.157425</v>
      </c>
      <c r="E35" s="28" t="s">
        <v>954</v>
      </c>
      <c r="F35" s="55">
        <v>11.306405250000001</v>
      </c>
      <c r="G35" s="29">
        <v>44652</v>
      </c>
      <c r="H35" s="30">
        <v>44926</v>
      </c>
    </row>
    <row r="36" spans="1:8" x14ac:dyDescent="0.2">
      <c r="A36" s="32">
        <v>201204</v>
      </c>
      <c r="B36" s="27" t="s">
        <v>36</v>
      </c>
      <c r="C36" s="55">
        <v>27.016500000000001</v>
      </c>
      <c r="D36" s="55">
        <v>12.157425</v>
      </c>
      <c r="E36" s="28" t="s">
        <v>954</v>
      </c>
      <c r="F36" s="55">
        <v>11.306405250000001</v>
      </c>
      <c r="G36" s="29">
        <v>44652</v>
      </c>
      <c r="H36" s="30">
        <v>44926</v>
      </c>
    </row>
    <row r="37" spans="1:8" x14ac:dyDescent="0.2">
      <c r="A37" s="32">
        <v>210001</v>
      </c>
      <c r="B37" s="27" t="s">
        <v>37</v>
      </c>
      <c r="C37" s="55">
        <v>18.238500000000002</v>
      </c>
      <c r="D37" s="55">
        <v>8.2073250000000009</v>
      </c>
      <c r="E37" s="28" t="s">
        <v>954</v>
      </c>
      <c r="F37" s="55">
        <v>7.6328122500000015</v>
      </c>
      <c r="G37" s="29">
        <v>44652</v>
      </c>
      <c r="H37" s="30">
        <v>44926</v>
      </c>
    </row>
    <row r="38" spans="1:8" x14ac:dyDescent="0.2">
      <c r="A38" s="32">
        <v>210002</v>
      </c>
      <c r="B38" s="27" t="s">
        <v>38</v>
      </c>
      <c r="C38" s="55">
        <v>21.7</v>
      </c>
      <c r="D38" s="55">
        <v>9.7650000000000006</v>
      </c>
      <c r="E38" s="28" t="s">
        <v>954</v>
      </c>
      <c r="F38" s="55">
        <v>9.0814500000000002</v>
      </c>
      <c r="G38" s="29">
        <v>44652</v>
      </c>
      <c r="H38" s="30">
        <v>44926</v>
      </c>
    </row>
    <row r="39" spans="1:8" x14ac:dyDescent="0.2">
      <c r="A39" s="32">
        <v>210003</v>
      </c>
      <c r="B39" s="27" t="s">
        <v>39</v>
      </c>
      <c r="C39" s="55">
        <v>96.12</v>
      </c>
      <c r="D39" s="55">
        <v>43.254000000000005</v>
      </c>
      <c r="E39" s="28" t="s">
        <v>954</v>
      </c>
      <c r="F39" s="55">
        <v>40.226220000000005</v>
      </c>
      <c r="G39" s="29">
        <v>44652</v>
      </c>
      <c r="H39" s="30">
        <v>44926</v>
      </c>
    </row>
    <row r="40" spans="1:8" x14ac:dyDescent="0.2">
      <c r="A40" s="32">
        <v>210005</v>
      </c>
      <c r="B40" s="27" t="s">
        <v>40</v>
      </c>
      <c r="C40" s="55">
        <v>16.28</v>
      </c>
      <c r="D40" s="55">
        <v>7.3260000000000005</v>
      </c>
      <c r="E40" s="28" t="s">
        <v>954</v>
      </c>
      <c r="F40" s="55">
        <v>6.8131800000000009</v>
      </c>
      <c r="G40" s="29">
        <v>44652</v>
      </c>
      <c r="H40" s="30">
        <v>44926</v>
      </c>
    </row>
    <row r="41" spans="1:8" x14ac:dyDescent="0.2">
      <c r="A41" s="32">
        <v>210006</v>
      </c>
      <c r="B41" s="27" t="s">
        <v>41</v>
      </c>
      <c r="C41" s="55">
        <v>20.04</v>
      </c>
      <c r="D41" s="55">
        <v>9.0180000000000007</v>
      </c>
      <c r="E41" s="28" t="s">
        <v>954</v>
      </c>
      <c r="F41" s="55">
        <v>8.3867400000000014</v>
      </c>
      <c r="G41" s="29">
        <v>44652</v>
      </c>
      <c r="H41" s="30">
        <v>44926</v>
      </c>
    </row>
    <row r="42" spans="1:8" x14ac:dyDescent="0.2">
      <c r="A42" s="32">
        <v>210010</v>
      </c>
      <c r="B42" s="27" t="s">
        <v>42</v>
      </c>
      <c r="C42" s="55">
        <v>24.93</v>
      </c>
      <c r="D42" s="55">
        <v>11.218500000000001</v>
      </c>
      <c r="E42" s="28" t="s">
        <v>954</v>
      </c>
      <c r="F42" s="55">
        <v>10.433205000000001</v>
      </c>
      <c r="G42" s="29">
        <v>44652</v>
      </c>
      <c r="H42" s="30">
        <v>44926</v>
      </c>
    </row>
    <row r="43" spans="1:8" x14ac:dyDescent="0.2">
      <c r="A43" s="32">
        <v>210201</v>
      </c>
      <c r="B43" s="27" t="s">
        <v>43</v>
      </c>
      <c r="C43" s="55">
        <v>41.5</v>
      </c>
      <c r="D43" s="55">
        <v>18.675000000000001</v>
      </c>
      <c r="E43" s="28" t="s">
        <v>954</v>
      </c>
      <c r="F43" s="55">
        <v>17.367750000000001</v>
      </c>
      <c r="G43" s="29">
        <v>44652</v>
      </c>
      <c r="H43" s="30">
        <v>44926</v>
      </c>
    </row>
    <row r="44" spans="1:8" x14ac:dyDescent="0.2">
      <c r="A44" s="32">
        <v>210202</v>
      </c>
      <c r="B44" s="27" t="s">
        <v>44</v>
      </c>
      <c r="C44" s="55">
        <v>41.3</v>
      </c>
      <c r="D44" s="55">
        <v>18.585000000000001</v>
      </c>
      <c r="E44" s="28" t="s">
        <v>954</v>
      </c>
      <c r="F44" s="55">
        <v>17.284050000000001</v>
      </c>
      <c r="G44" s="29">
        <v>44652</v>
      </c>
      <c r="H44" s="30">
        <v>44926</v>
      </c>
    </row>
    <row r="45" spans="1:8" x14ac:dyDescent="0.2">
      <c r="A45" s="32">
        <v>210203</v>
      </c>
      <c r="B45" s="27" t="s">
        <v>45</v>
      </c>
      <c r="C45" s="55">
        <v>136</v>
      </c>
      <c r="D45" s="55">
        <v>61.2</v>
      </c>
      <c r="E45" s="28"/>
      <c r="F45" s="55">
        <v>56.916000000000004</v>
      </c>
      <c r="G45" s="29">
        <v>44652</v>
      </c>
      <c r="H45" s="30">
        <v>44926</v>
      </c>
    </row>
    <row r="46" spans="1:8" x14ac:dyDescent="0.2">
      <c r="A46" s="32">
        <v>210205</v>
      </c>
      <c r="B46" s="27" t="s">
        <v>46</v>
      </c>
      <c r="C46" s="55">
        <v>39.070500000000003</v>
      </c>
      <c r="D46" s="55">
        <v>17.581725000000002</v>
      </c>
      <c r="E46" s="28" t="s">
        <v>954</v>
      </c>
      <c r="F46" s="55">
        <v>16.351004250000003</v>
      </c>
      <c r="G46" s="29">
        <v>44652</v>
      </c>
      <c r="H46" s="30">
        <v>44926</v>
      </c>
    </row>
    <row r="47" spans="1:8" x14ac:dyDescent="0.2">
      <c r="A47" s="32">
        <v>210206</v>
      </c>
      <c r="B47" s="27" t="s">
        <v>47</v>
      </c>
      <c r="C47" s="55">
        <v>41.3</v>
      </c>
      <c r="D47" s="55">
        <v>18.585000000000001</v>
      </c>
      <c r="E47" s="28" t="s">
        <v>954</v>
      </c>
      <c r="F47" s="55">
        <v>17.284050000000001</v>
      </c>
      <c r="G47" s="29">
        <v>44652</v>
      </c>
      <c r="H47" s="30">
        <v>44926</v>
      </c>
    </row>
    <row r="48" spans="1:8" x14ac:dyDescent="0.2">
      <c r="A48" s="32">
        <v>210210</v>
      </c>
      <c r="B48" s="27" t="s">
        <v>48</v>
      </c>
      <c r="C48" s="55">
        <v>55.503</v>
      </c>
      <c r="D48" s="55">
        <v>24.97635</v>
      </c>
      <c r="E48" s="28" t="s">
        <v>954</v>
      </c>
      <c r="F48" s="55">
        <v>23.228005500000002</v>
      </c>
      <c r="G48" s="29">
        <v>44652</v>
      </c>
      <c r="H48" s="30">
        <v>44926</v>
      </c>
    </row>
    <row r="49" spans="1:8" x14ac:dyDescent="0.2">
      <c r="A49" s="32">
        <v>211001</v>
      </c>
      <c r="B49" s="27" t="s">
        <v>49</v>
      </c>
      <c r="C49" s="55">
        <v>19.2</v>
      </c>
      <c r="D49" s="55">
        <v>8.64</v>
      </c>
      <c r="E49" s="28" t="s">
        <v>954</v>
      </c>
      <c r="F49" s="55">
        <v>8.0352000000000015</v>
      </c>
      <c r="G49" s="29">
        <v>44652</v>
      </c>
      <c r="H49" s="30">
        <v>44926</v>
      </c>
    </row>
    <row r="50" spans="1:8" x14ac:dyDescent="0.2">
      <c r="A50" s="32">
        <v>211002</v>
      </c>
      <c r="B50" s="27" t="s">
        <v>50</v>
      </c>
      <c r="C50" s="55">
        <v>20.05</v>
      </c>
      <c r="D50" s="55">
        <v>9.0225000000000009</v>
      </c>
      <c r="E50" s="28" t="s">
        <v>954</v>
      </c>
      <c r="F50" s="55">
        <v>8.3909250000000011</v>
      </c>
      <c r="G50" s="29">
        <v>44652</v>
      </c>
      <c r="H50" s="30">
        <v>44926</v>
      </c>
    </row>
    <row r="51" spans="1:8" x14ac:dyDescent="0.2">
      <c r="A51" s="32">
        <v>211003</v>
      </c>
      <c r="B51" s="27" t="s">
        <v>51</v>
      </c>
      <c r="C51" s="55">
        <v>92.13</v>
      </c>
      <c r="D51" s="55">
        <v>41.458500000000001</v>
      </c>
      <c r="E51" s="28" t="s">
        <v>954</v>
      </c>
      <c r="F51" s="55">
        <v>38.556405000000005</v>
      </c>
      <c r="G51" s="29">
        <v>44652</v>
      </c>
      <c r="H51" s="30">
        <v>44926</v>
      </c>
    </row>
    <row r="52" spans="1:8" x14ac:dyDescent="0.2">
      <c r="A52" s="32">
        <v>211005</v>
      </c>
      <c r="B52" s="27" t="s">
        <v>52</v>
      </c>
      <c r="C52" s="55">
        <v>17.95</v>
      </c>
      <c r="D52" s="55">
        <v>8.0775000000000006</v>
      </c>
      <c r="E52" s="28" t="s">
        <v>954</v>
      </c>
      <c r="F52" s="55">
        <v>7.5120750000000012</v>
      </c>
      <c r="G52" s="29">
        <v>44652</v>
      </c>
      <c r="H52" s="30">
        <v>44926</v>
      </c>
    </row>
    <row r="53" spans="1:8" x14ac:dyDescent="0.2">
      <c r="A53" s="32">
        <v>211006</v>
      </c>
      <c r="B53" s="27" t="s">
        <v>53</v>
      </c>
      <c r="C53" s="55">
        <v>20.28</v>
      </c>
      <c r="D53" s="55">
        <v>9.1260000000000012</v>
      </c>
      <c r="E53" s="28" t="s">
        <v>954</v>
      </c>
      <c r="F53" s="55">
        <v>8.4871800000000022</v>
      </c>
      <c r="G53" s="29">
        <v>44652</v>
      </c>
      <c r="H53" s="30">
        <v>44926</v>
      </c>
    </row>
    <row r="54" spans="1:8" x14ac:dyDescent="0.2">
      <c r="A54" s="32">
        <v>211014</v>
      </c>
      <c r="B54" s="27" t="s">
        <v>54</v>
      </c>
      <c r="C54" s="55">
        <v>40.17</v>
      </c>
      <c r="D54" s="55">
        <v>18.076500000000003</v>
      </c>
      <c r="E54" s="28" t="s">
        <v>954</v>
      </c>
      <c r="F54" s="55">
        <v>16.811145000000003</v>
      </c>
      <c r="G54" s="29">
        <v>44652</v>
      </c>
      <c r="H54" s="30">
        <v>44926</v>
      </c>
    </row>
    <row r="55" spans="1:8" x14ac:dyDescent="0.2">
      <c r="A55" s="32">
        <v>211015</v>
      </c>
      <c r="B55" s="27" t="s">
        <v>55</v>
      </c>
      <c r="C55" s="55">
        <v>38.92</v>
      </c>
      <c r="D55" s="55">
        <v>17.514000000000003</v>
      </c>
      <c r="E55" s="28" t="s">
        <v>954</v>
      </c>
      <c r="F55" s="55">
        <v>16.288020000000003</v>
      </c>
      <c r="G55" s="29">
        <v>44652</v>
      </c>
      <c r="H55" s="30">
        <v>44926</v>
      </c>
    </row>
    <row r="56" spans="1:8" x14ac:dyDescent="0.2">
      <c r="A56" s="32">
        <v>211016</v>
      </c>
      <c r="B56" s="27" t="s">
        <v>56</v>
      </c>
      <c r="C56" s="55">
        <v>48.96</v>
      </c>
      <c r="D56" s="55">
        <v>22.032</v>
      </c>
      <c r="E56" s="28" t="s">
        <v>954</v>
      </c>
      <c r="F56" s="55">
        <v>20.48976</v>
      </c>
      <c r="G56" s="29">
        <v>44652</v>
      </c>
      <c r="H56" s="30">
        <v>44926</v>
      </c>
    </row>
    <row r="57" spans="1:8" x14ac:dyDescent="0.2">
      <c r="A57" s="32">
        <v>211201</v>
      </c>
      <c r="B57" s="27" t="s">
        <v>57</v>
      </c>
      <c r="C57" s="55">
        <v>39.06</v>
      </c>
      <c r="D57" s="55">
        <v>17.577000000000002</v>
      </c>
      <c r="E57" s="28" t="s">
        <v>954</v>
      </c>
      <c r="F57" s="55">
        <v>16.346610000000002</v>
      </c>
      <c r="G57" s="29">
        <v>44652</v>
      </c>
      <c r="H57" s="30">
        <v>44926</v>
      </c>
    </row>
    <row r="58" spans="1:8" x14ac:dyDescent="0.2">
      <c r="A58" s="32">
        <v>211202</v>
      </c>
      <c r="B58" s="27" t="s">
        <v>58</v>
      </c>
      <c r="C58" s="55">
        <v>43.72</v>
      </c>
      <c r="D58" s="55">
        <v>19.673999999999999</v>
      </c>
      <c r="E58" s="28" t="s">
        <v>954</v>
      </c>
      <c r="F58" s="55">
        <v>18.29682</v>
      </c>
      <c r="G58" s="29">
        <v>44652</v>
      </c>
      <c r="H58" s="30">
        <v>44926</v>
      </c>
    </row>
    <row r="59" spans="1:8" x14ac:dyDescent="0.2">
      <c r="A59" s="32">
        <v>211203</v>
      </c>
      <c r="B59" s="27" t="s">
        <v>59</v>
      </c>
      <c r="C59" s="55">
        <v>132.4</v>
      </c>
      <c r="D59" s="55">
        <v>59.580000000000005</v>
      </c>
      <c r="E59" s="28"/>
      <c r="F59" s="55">
        <v>55.409400000000005</v>
      </c>
      <c r="G59" s="29">
        <v>44652</v>
      </c>
      <c r="H59" s="30">
        <v>44926</v>
      </c>
    </row>
    <row r="60" spans="1:8" x14ac:dyDescent="0.2">
      <c r="A60" s="32">
        <v>211205</v>
      </c>
      <c r="B60" s="27" t="s">
        <v>60</v>
      </c>
      <c r="C60" s="55">
        <v>37.936500000000002</v>
      </c>
      <c r="D60" s="55">
        <v>17.071425000000001</v>
      </c>
      <c r="E60" s="28" t="s">
        <v>954</v>
      </c>
      <c r="F60" s="55">
        <v>15.876425250000002</v>
      </c>
      <c r="G60" s="29">
        <v>44652</v>
      </c>
      <c r="H60" s="30">
        <v>44926</v>
      </c>
    </row>
    <row r="61" spans="1:8" x14ac:dyDescent="0.2">
      <c r="A61" s="32">
        <v>211206</v>
      </c>
      <c r="B61" s="27" t="s">
        <v>61</v>
      </c>
      <c r="C61" s="55">
        <v>37.936500000000002</v>
      </c>
      <c r="D61" s="55">
        <v>17.071425000000001</v>
      </c>
      <c r="E61" s="28" t="s">
        <v>954</v>
      </c>
      <c r="F61" s="55">
        <v>15.876425250000002</v>
      </c>
      <c r="G61" s="29">
        <v>44652</v>
      </c>
      <c r="H61" s="30">
        <v>44926</v>
      </c>
    </row>
    <row r="62" spans="1:8" x14ac:dyDescent="0.2">
      <c r="A62" s="32">
        <v>211214</v>
      </c>
      <c r="B62" s="27" t="s">
        <v>62</v>
      </c>
      <c r="C62" s="55">
        <v>54</v>
      </c>
      <c r="D62" s="55">
        <v>24.3</v>
      </c>
      <c r="E62" s="28" t="s">
        <v>954</v>
      </c>
      <c r="F62" s="55">
        <v>22.599</v>
      </c>
      <c r="G62" s="29">
        <v>44652</v>
      </c>
      <c r="H62" s="30">
        <v>44926</v>
      </c>
    </row>
    <row r="63" spans="1:8" x14ac:dyDescent="0.2">
      <c r="A63" s="32">
        <v>211215</v>
      </c>
      <c r="B63" s="27" t="s">
        <v>63</v>
      </c>
      <c r="C63" s="55">
        <v>55.37</v>
      </c>
      <c r="D63" s="55">
        <v>24.916499999999999</v>
      </c>
      <c r="E63" s="28" t="s">
        <v>954</v>
      </c>
      <c r="F63" s="55">
        <v>23.172345</v>
      </c>
      <c r="G63" s="29">
        <v>44652</v>
      </c>
      <c r="H63" s="30">
        <v>44926</v>
      </c>
    </row>
    <row r="64" spans="1:8" x14ac:dyDescent="0.2">
      <c r="A64" s="32">
        <v>211216</v>
      </c>
      <c r="B64" s="27" t="s">
        <v>64</v>
      </c>
      <c r="C64" s="55">
        <v>52.8</v>
      </c>
      <c r="D64" s="55">
        <v>23.759999999999998</v>
      </c>
      <c r="E64" s="28" t="s">
        <v>954</v>
      </c>
      <c r="F64" s="55">
        <v>22.096799999999998</v>
      </c>
      <c r="G64" s="29">
        <v>44652</v>
      </c>
      <c r="H64" s="30">
        <v>44926</v>
      </c>
    </row>
    <row r="65" spans="1:8" x14ac:dyDescent="0.2">
      <c r="A65" s="32">
        <v>211217</v>
      </c>
      <c r="B65" s="27" t="s">
        <v>65</v>
      </c>
      <c r="C65" s="55">
        <v>70</v>
      </c>
      <c r="D65" s="55">
        <v>31.5</v>
      </c>
      <c r="E65" s="28" t="s">
        <v>954</v>
      </c>
      <c r="F65" s="55">
        <v>29.295000000000002</v>
      </c>
      <c r="G65" s="29">
        <v>44652</v>
      </c>
      <c r="H65" s="30">
        <v>44926</v>
      </c>
    </row>
    <row r="66" spans="1:8" x14ac:dyDescent="0.2">
      <c r="A66" s="32">
        <v>211305</v>
      </c>
      <c r="B66" s="27" t="s">
        <v>66</v>
      </c>
      <c r="C66" s="55">
        <v>57.655499999999996</v>
      </c>
      <c r="D66" s="55">
        <v>25.944974999999999</v>
      </c>
      <c r="E66" s="28" t="s">
        <v>954</v>
      </c>
      <c r="F66" s="55">
        <v>24.128826750000002</v>
      </c>
      <c r="G66" s="29">
        <v>44652</v>
      </c>
      <c r="H66" s="30">
        <v>44926</v>
      </c>
    </row>
    <row r="67" spans="1:8" x14ac:dyDescent="0.2">
      <c r="A67" s="32">
        <v>211306</v>
      </c>
      <c r="B67" s="27" t="s">
        <v>67</v>
      </c>
      <c r="C67" s="55">
        <v>63.692999999999998</v>
      </c>
      <c r="D67" s="55">
        <v>28.661850000000001</v>
      </c>
      <c r="E67" s="28" t="s">
        <v>954</v>
      </c>
      <c r="F67" s="55">
        <v>26.655520500000002</v>
      </c>
      <c r="G67" s="29">
        <v>44652</v>
      </c>
      <c r="H67" s="30">
        <v>44926</v>
      </c>
    </row>
    <row r="68" spans="1:8" x14ac:dyDescent="0.2">
      <c r="A68" s="32">
        <v>212001</v>
      </c>
      <c r="B68" s="27" t="s">
        <v>1061</v>
      </c>
      <c r="C68" s="55">
        <v>24</v>
      </c>
      <c r="D68" s="55">
        <v>10.8</v>
      </c>
      <c r="E68" s="28" t="s">
        <v>954</v>
      </c>
      <c r="F68" s="55">
        <v>10.044</v>
      </c>
      <c r="G68" s="29">
        <v>44652</v>
      </c>
      <c r="H68" s="30">
        <v>44926</v>
      </c>
    </row>
    <row r="69" spans="1:8" x14ac:dyDescent="0.2">
      <c r="A69" s="32">
        <v>212002</v>
      </c>
      <c r="B69" s="27" t="s">
        <v>1060</v>
      </c>
      <c r="C69" s="55">
        <v>25.9</v>
      </c>
      <c r="D69" s="55">
        <v>11.654999999999999</v>
      </c>
      <c r="E69" s="28" t="s">
        <v>954</v>
      </c>
      <c r="F69" s="55">
        <v>10.83915</v>
      </c>
      <c r="G69" s="29">
        <v>44652</v>
      </c>
      <c r="H69" s="30">
        <v>44926</v>
      </c>
    </row>
    <row r="70" spans="1:8" x14ac:dyDescent="0.2">
      <c r="A70" s="32">
        <v>212003</v>
      </c>
      <c r="B70" s="27" t="s">
        <v>68</v>
      </c>
      <c r="C70" s="55">
        <v>18.61</v>
      </c>
      <c r="D70" s="55">
        <v>8.3744999999999994</v>
      </c>
      <c r="E70" s="28" t="s">
        <v>954</v>
      </c>
      <c r="F70" s="55">
        <v>7.7882850000000001</v>
      </c>
      <c r="G70" s="29">
        <v>44652</v>
      </c>
      <c r="H70" s="30">
        <v>44926</v>
      </c>
    </row>
    <row r="71" spans="1:8" x14ac:dyDescent="0.2">
      <c r="A71" s="32">
        <v>212004</v>
      </c>
      <c r="B71" s="27" t="s">
        <v>69</v>
      </c>
      <c r="C71" s="55">
        <v>18.97</v>
      </c>
      <c r="D71" s="55">
        <v>8.5365000000000002</v>
      </c>
      <c r="E71" s="28" t="s">
        <v>954</v>
      </c>
      <c r="F71" s="55">
        <v>7.9389450000000004</v>
      </c>
      <c r="G71" s="29">
        <v>44652</v>
      </c>
      <c r="H71" s="30">
        <v>44926</v>
      </c>
    </row>
    <row r="72" spans="1:8" x14ac:dyDescent="0.2">
      <c r="A72" s="32">
        <v>212201</v>
      </c>
      <c r="B72" s="27" t="s">
        <v>70</v>
      </c>
      <c r="C72" s="55">
        <v>40.5</v>
      </c>
      <c r="D72" s="55">
        <v>18.225000000000001</v>
      </c>
      <c r="E72" s="28" t="s">
        <v>954</v>
      </c>
      <c r="F72" s="55">
        <v>16.949250000000003</v>
      </c>
      <c r="G72" s="29">
        <v>44652</v>
      </c>
      <c r="H72" s="30">
        <v>44926</v>
      </c>
    </row>
    <row r="73" spans="1:8" x14ac:dyDescent="0.2">
      <c r="A73" s="32">
        <v>212202</v>
      </c>
      <c r="B73" s="27" t="s">
        <v>71</v>
      </c>
      <c r="C73" s="55">
        <v>41.1</v>
      </c>
      <c r="D73" s="55">
        <v>18.495000000000001</v>
      </c>
      <c r="E73" s="28" t="s">
        <v>954</v>
      </c>
      <c r="F73" s="55">
        <v>17.20035</v>
      </c>
      <c r="G73" s="29">
        <v>44652</v>
      </c>
      <c r="H73" s="30">
        <v>44926</v>
      </c>
    </row>
    <row r="74" spans="1:8" x14ac:dyDescent="0.2">
      <c r="A74" s="32">
        <v>212203</v>
      </c>
      <c r="B74" s="27" t="s">
        <v>72</v>
      </c>
      <c r="C74" s="55">
        <v>42.3</v>
      </c>
      <c r="D74" s="55">
        <v>19.035</v>
      </c>
      <c r="E74" s="28" t="s">
        <v>954</v>
      </c>
      <c r="F74" s="55">
        <v>17.702550000000002</v>
      </c>
      <c r="G74" s="29">
        <v>44652</v>
      </c>
      <c r="H74" s="30">
        <v>44926</v>
      </c>
    </row>
    <row r="75" spans="1:8" x14ac:dyDescent="0.2">
      <c r="A75" s="32">
        <v>212204</v>
      </c>
      <c r="B75" s="27" t="s">
        <v>73</v>
      </c>
      <c r="C75" s="55">
        <v>41</v>
      </c>
      <c r="D75" s="55">
        <v>18.45</v>
      </c>
      <c r="E75" s="28"/>
      <c r="F75" s="55">
        <v>17.1585</v>
      </c>
      <c r="G75" s="29">
        <v>44652</v>
      </c>
      <c r="H75" s="30">
        <v>44926</v>
      </c>
    </row>
    <row r="76" spans="1:8" x14ac:dyDescent="0.2">
      <c r="A76" s="32">
        <v>213001</v>
      </c>
      <c r="B76" s="27" t="s">
        <v>74</v>
      </c>
      <c r="C76" s="55">
        <v>28.7</v>
      </c>
      <c r="D76" s="55">
        <v>12.914999999999999</v>
      </c>
      <c r="E76" s="28" t="s">
        <v>954</v>
      </c>
      <c r="F76" s="55">
        <v>12.010949999999999</v>
      </c>
      <c r="G76" s="29">
        <v>44652</v>
      </c>
      <c r="H76" s="30">
        <v>44926</v>
      </c>
    </row>
    <row r="77" spans="1:8" x14ac:dyDescent="0.2">
      <c r="A77" s="32">
        <v>213002</v>
      </c>
      <c r="B77" s="27" t="s">
        <v>75</v>
      </c>
      <c r="C77" s="55">
        <v>28.5</v>
      </c>
      <c r="D77" s="55">
        <v>12.825000000000001</v>
      </c>
      <c r="E77" s="28" t="s">
        <v>954</v>
      </c>
      <c r="F77" s="55">
        <v>11.927250000000001</v>
      </c>
      <c r="G77" s="29">
        <v>44652</v>
      </c>
      <c r="H77" s="30">
        <v>44926</v>
      </c>
    </row>
    <row r="78" spans="1:8" x14ac:dyDescent="0.2">
      <c r="A78" s="32">
        <v>213201</v>
      </c>
      <c r="B78" s="27" t="s">
        <v>76</v>
      </c>
      <c r="C78" s="55">
        <v>45.84</v>
      </c>
      <c r="D78" s="55">
        <v>20.628000000000004</v>
      </c>
      <c r="E78" s="28" t="s">
        <v>954</v>
      </c>
      <c r="F78" s="55">
        <v>19.184040000000003</v>
      </c>
      <c r="G78" s="29">
        <v>44652</v>
      </c>
      <c r="H78" s="30">
        <v>44926</v>
      </c>
    </row>
    <row r="79" spans="1:8" x14ac:dyDescent="0.2">
      <c r="A79" s="32">
        <v>214201</v>
      </c>
      <c r="B79" s="27" t="s">
        <v>77</v>
      </c>
      <c r="C79" s="55">
        <v>137.05000000000001</v>
      </c>
      <c r="D79" s="55">
        <v>61.672500000000007</v>
      </c>
      <c r="E79" s="28"/>
      <c r="F79" s="55">
        <v>57.355425000000011</v>
      </c>
      <c r="G79" s="29">
        <v>44652</v>
      </c>
      <c r="H79" s="30">
        <v>44926</v>
      </c>
    </row>
    <row r="80" spans="1:8" x14ac:dyDescent="0.2">
      <c r="A80" s="32">
        <v>215001</v>
      </c>
      <c r="B80" s="27" t="s">
        <v>78</v>
      </c>
      <c r="C80" s="55">
        <v>28.45</v>
      </c>
      <c r="D80" s="55">
        <v>12.8025</v>
      </c>
      <c r="E80" s="28" t="s">
        <v>954</v>
      </c>
      <c r="F80" s="55">
        <v>11.906325000000001</v>
      </c>
      <c r="G80" s="29">
        <v>44652</v>
      </c>
      <c r="H80" s="30">
        <v>44926</v>
      </c>
    </row>
    <row r="81" spans="1:8" x14ac:dyDescent="0.2">
      <c r="A81" s="32">
        <v>215002</v>
      </c>
      <c r="B81" s="27" t="s">
        <v>79</v>
      </c>
      <c r="C81" s="55">
        <v>32.200000000000003</v>
      </c>
      <c r="D81" s="55">
        <v>14.490000000000002</v>
      </c>
      <c r="E81" s="28" t="s">
        <v>954</v>
      </c>
      <c r="F81" s="55">
        <v>13.475700000000003</v>
      </c>
      <c r="G81" s="29">
        <v>44652</v>
      </c>
      <c r="H81" s="30">
        <v>44926</v>
      </c>
    </row>
    <row r="82" spans="1:8" x14ac:dyDescent="0.2">
      <c r="A82" s="32">
        <v>215201</v>
      </c>
      <c r="B82" s="27" t="s">
        <v>80</v>
      </c>
      <c r="C82" s="55">
        <v>45.3</v>
      </c>
      <c r="D82" s="55">
        <v>20.384999999999998</v>
      </c>
      <c r="E82" s="28" t="s">
        <v>954</v>
      </c>
      <c r="F82" s="55">
        <v>18.95805</v>
      </c>
      <c r="G82" s="29">
        <v>44652</v>
      </c>
      <c r="H82" s="30">
        <v>44926</v>
      </c>
    </row>
    <row r="83" spans="1:8" x14ac:dyDescent="0.2">
      <c r="A83" s="32">
        <v>215202</v>
      </c>
      <c r="B83" s="27" t="s">
        <v>81</v>
      </c>
      <c r="C83" s="55">
        <v>48.53</v>
      </c>
      <c r="D83" s="55">
        <v>21.8385</v>
      </c>
      <c r="E83" s="28" t="s">
        <v>954</v>
      </c>
      <c r="F83" s="55">
        <v>20.309805000000001</v>
      </c>
      <c r="G83" s="29">
        <v>44652</v>
      </c>
      <c r="H83" s="30">
        <v>44926</v>
      </c>
    </row>
    <row r="84" spans="1:8" x14ac:dyDescent="0.2">
      <c r="A84" s="32">
        <v>221201</v>
      </c>
      <c r="B84" s="27" t="s">
        <v>82</v>
      </c>
      <c r="C84" s="55">
        <v>29.379000000000001</v>
      </c>
      <c r="D84" s="55">
        <v>13.220550000000001</v>
      </c>
      <c r="E84" s="28" t="s">
        <v>954</v>
      </c>
      <c r="F84" s="55">
        <v>12.295111500000001</v>
      </c>
      <c r="G84" s="29">
        <v>44652</v>
      </c>
      <c r="H84" s="30">
        <v>44926</v>
      </c>
    </row>
    <row r="85" spans="1:8" x14ac:dyDescent="0.2">
      <c r="A85" s="32">
        <v>221202</v>
      </c>
      <c r="B85" s="27" t="s">
        <v>83</v>
      </c>
      <c r="C85" s="55">
        <v>29.379000000000001</v>
      </c>
      <c r="D85" s="55">
        <v>13.220550000000001</v>
      </c>
      <c r="E85" s="28" t="s">
        <v>954</v>
      </c>
      <c r="F85" s="55">
        <v>12.295111500000001</v>
      </c>
      <c r="G85" s="29">
        <v>44652</v>
      </c>
      <c r="H85" s="30">
        <v>44926</v>
      </c>
    </row>
    <row r="86" spans="1:8" x14ac:dyDescent="0.2">
      <c r="A86" s="32">
        <v>221205</v>
      </c>
      <c r="B86" s="27" t="s">
        <v>1316</v>
      </c>
      <c r="C86" s="55">
        <v>38.671500000000002</v>
      </c>
      <c r="D86" s="55">
        <v>17.402175</v>
      </c>
      <c r="E86" s="28" t="s">
        <v>954</v>
      </c>
      <c r="F86" s="55">
        <v>16.18402275</v>
      </c>
      <c r="G86" s="29">
        <v>44652</v>
      </c>
      <c r="H86" s="30">
        <v>44926</v>
      </c>
    </row>
    <row r="87" spans="1:8" x14ac:dyDescent="0.2">
      <c r="A87" s="32">
        <v>221209</v>
      </c>
      <c r="B87" s="27" t="s">
        <v>84</v>
      </c>
      <c r="C87" s="55">
        <v>38.839500000000001</v>
      </c>
      <c r="D87" s="55">
        <v>17.477775000000001</v>
      </c>
      <c r="E87" s="28" t="s">
        <v>954</v>
      </c>
      <c r="F87" s="55">
        <v>16.254330750000001</v>
      </c>
      <c r="G87" s="29">
        <v>44652</v>
      </c>
      <c r="H87" s="30">
        <v>44926</v>
      </c>
    </row>
    <row r="88" spans="1:8" x14ac:dyDescent="0.2">
      <c r="A88" s="32">
        <v>221210</v>
      </c>
      <c r="B88" s="27" t="s">
        <v>1320</v>
      </c>
      <c r="C88" s="55">
        <v>40.540500000000002</v>
      </c>
      <c r="D88" s="55">
        <v>18.243225000000002</v>
      </c>
      <c r="E88" s="28" t="s">
        <v>954</v>
      </c>
      <c r="F88" s="55">
        <v>16.966199250000003</v>
      </c>
      <c r="G88" s="29">
        <v>44652</v>
      </c>
      <c r="H88" s="30">
        <v>44926</v>
      </c>
    </row>
    <row r="89" spans="1:8" x14ac:dyDescent="0.2">
      <c r="A89" s="32">
        <v>221300</v>
      </c>
      <c r="B89" s="27" t="s">
        <v>85</v>
      </c>
      <c r="C89" s="55">
        <v>47.460000000000008</v>
      </c>
      <c r="D89" s="55">
        <v>21.357000000000003</v>
      </c>
      <c r="E89" s="28" t="s">
        <v>954</v>
      </c>
      <c r="F89" s="55">
        <v>19.862010000000005</v>
      </c>
      <c r="G89" s="29">
        <v>44652</v>
      </c>
      <c r="H89" s="30">
        <v>44926</v>
      </c>
    </row>
    <row r="90" spans="1:8" x14ac:dyDescent="0.2">
      <c r="A90" s="32">
        <v>221301</v>
      </c>
      <c r="B90" s="27" t="s">
        <v>86</v>
      </c>
      <c r="C90" s="55">
        <v>53.445</v>
      </c>
      <c r="D90" s="55">
        <v>24.050250000000002</v>
      </c>
      <c r="E90" s="28" t="s">
        <v>954</v>
      </c>
      <c r="F90" s="55">
        <v>22.366732500000001</v>
      </c>
      <c r="G90" s="29">
        <v>44652</v>
      </c>
      <c r="H90" s="30">
        <v>44926</v>
      </c>
    </row>
    <row r="91" spans="1:8" x14ac:dyDescent="0.2">
      <c r="A91" s="32">
        <v>225001</v>
      </c>
      <c r="B91" s="27" t="s">
        <v>1062</v>
      </c>
      <c r="C91" s="55">
        <v>36.5</v>
      </c>
      <c r="D91" s="55">
        <v>16.425000000000001</v>
      </c>
      <c r="E91" s="28" t="s">
        <v>954</v>
      </c>
      <c r="F91" s="55">
        <v>15.275250000000002</v>
      </c>
      <c r="G91" s="29">
        <v>44652</v>
      </c>
      <c r="H91" s="30">
        <v>44926</v>
      </c>
    </row>
    <row r="92" spans="1:8" x14ac:dyDescent="0.2">
      <c r="A92" s="32">
        <v>225201</v>
      </c>
      <c r="B92" s="27" t="s">
        <v>87</v>
      </c>
      <c r="C92" s="55">
        <v>60</v>
      </c>
      <c r="D92" s="55">
        <v>27</v>
      </c>
      <c r="E92" s="28" t="s">
        <v>954</v>
      </c>
      <c r="F92" s="55">
        <v>25.110000000000003</v>
      </c>
      <c r="G92" s="29">
        <v>44652</v>
      </c>
      <c r="H92" s="30">
        <v>44926</v>
      </c>
    </row>
    <row r="93" spans="1:8" x14ac:dyDescent="0.2">
      <c r="A93" s="32">
        <v>225202</v>
      </c>
      <c r="B93" s="27" t="s">
        <v>88</v>
      </c>
      <c r="C93" s="55">
        <v>60</v>
      </c>
      <c r="D93" s="55">
        <v>27</v>
      </c>
      <c r="E93" s="28"/>
      <c r="F93" s="55">
        <v>25.110000000000003</v>
      </c>
      <c r="G93" s="29">
        <v>44652</v>
      </c>
      <c r="H93" s="30">
        <v>44926</v>
      </c>
    </row>
    <row r="94" spans="1:8" x14ac:dyDescent="0.2">
      <c r="A94" s="32">
        <v>300011</v>
      </c>
      <c r="B94" s="27" t="s">
        <v>89</v>
      </c>
      <c r="C94" s="55">
        <v>246.5</v>
      </c>
      <c r="D94" s="55">
        <v>110.925</v>
      </c>
      <c r="E94" s="28" t="s">
        <v>954</v>
      </c>
      <c r="F94" s="55">
        <v>103.16025</v>
      </c>
      <c r="G94" s="29">
        <v>44652</v>
      </c>
      <c r="H94" s="30">
        <v>44926</v>
      </c>
    </row>
    <row r="95" spans="1:8" x14ac:dyDescent="0.2">
      <c r="A95" s="32">
        <v>300012</v>
      </c>
      <c r="B95" s="27" t="s">
        <v>90</v>
      </c>
      <c r="C95" s="55">
        <v>369.25</v>
      </c>
      <c r="D95" s="55">
        <v>166.16249999999999</v>
      </c>
      <c r="E95" s="28" t="s">
        <v>954</v>
      </c>
      <c r="F95" s="55">
        <v>154.531125</v>
      </c>
      <c r="G95" s="29">
        <v>44652</v>
      </c>
      <c r="H95" s="30">
        <v>44926</v>
      </c>
    </row>
    <row r="96" spans="1:8" x14ac:dyDescent="0.2">
      <c r="A96" s="32">
        <v>300013</v>
      </c>
      <c r="B96" s="27" t="s">
        <v>91</v>
      </c>
      <c r="C96" s="55">
        <v>455</v>
      </c>
      <c r="D96" s="55">
        <v>204.75</v>
      </c>
      <c r="E96" s="28" t="s">
        <v>954</v>
      </c>
      <c r="F96" s="55">
        <v>190.41750000000002</v>
      </c>
      <c r="G96" s="29">
        <v>44652</v>
      </c>
      <c r="H96" s="30">
        <v>44926</v>
      </c>
    </row>
    <row r="97" spans="1:8" x14ac:dyDescent="0.2">
      <c r="A97" s="32">
        <v>300014</v>
      </c>
      <c r="B97" s="27" t="s">
        <v>92</v>
      </c>
      <c r="C97" s="55">
        <v>659</v>
      </c>
      <c r="D97" s="55">
        <v>296.55</v>
      </c>
      <c r="E97" s="28" t="s">
        <v>954</v>
      </c>
      <c r="F97" s="55">
        <v>275.79150000000004</v>
      </c>
      <c r="G97" s="29">
        <v>44652</v>
      </c>
      <c r="H97" s="30">
        <v>44926</v>
      </c>
    </row>
    <row r="98" spans="1:8" x14ac:dyDescent="0.2">
      <c r="A98" s="32">
        <v>300015</v>
      </c>
      <c r="B98" s="27" t="s">
        <v>91</v>
      </c>
      <c r="C98" s="55">
        <v>481</v>
      </c>
      <c r="D98" s="55">
        <v>216.45000000000002</v>
      </c>
      <c r="E98" s="28" t="s">
        <v>954</v>
      </c>
      <c r="F98" s="55">
        <v>201.29850000000002</v>
      </c>
      <c r="G98" s="29">
        <v>44652</v>
      </c>
      <c r="H98" s="30">
        <v>44926</v>
      </c>
    </row>
    <row r="99" spans="1:8" x14ac:dyDescent="0.2">
      <c r="A99" s="32">
        <v>300018</v>
      </c>
      <c r="B99" s="27" t="s">
        <v>93</v>
      </c>
      <c r="C99" s="55">
        <v>557</v>
      </c>
      <c r="D99" s="55">
        <v>250.65</v>
      </c>
      <c r="E99" s="28" t="s">
        <v>954</v>
      </c>
      <c r="F99" s="55">
        <v>233.10450000000003</v>
      </c>
      <c r="G99" s="29">
        <v>44652</v>
      </c>
      <c r="H99" s="30">
        <v>44926</v>
      </c>
    </row>
    <row r="100" spans="1:8" x14ac:dyDescent="0.2">
      <c r="A100" s="32">
        <v>300022</v>
      </c>
      <c r="B100" s="27" t="s">
        <v>94</v>
      </c>
      <c r="C100" s="55">
        <v>369.2</v>
      </c>
      <c r="D100" s="55">
        <v>166.14</v>
      </c>
      <c r="E100" s="28" t="s">
        <v>954</v>
      </c>
      <c r="F100" s="55">
        <v>154.5102</v>
      </c>
      <c r="G100" s="29">
        <v>44652</v>
      </c>
      <c r="H100" s="30">
        <v>44926</v>
      </c>
    </row>
    <row r="101" spans="1:8" x14ac:dyDescent="0.2">
      <c r="A101" s="32">
        <v>351044</v>
      </c>
      <c r="B101" s="27" t="s">
        <v>95</v>
      </c>
      <c r="C101" s="55">
        <v>85.491</v>
      </c>
      <c r="D101" s="55">
        <v>38.470950000000002</v>
      </c>
      <c r="E101" s="28" t="s">
        <v>954</v>
      </c>
      <c r="F101" s="55">
        <v>35.777983500000005</v>
      </c>
      <c r="G101" s="29">
        <v>44652</v>
      </c>
      <c r="H101" s="30">
        <v>44926</v>
      </c>
    </row>
    <row r="102" spans="1:8" x14ac:dyDescent="0.2">
      <c r="A102" s="32">
        <v>351045</v>
      </c>
      <c r="B102" s="27" t="s">
        <v>96</v>
      </c>
      <c r="C102" s="55">
        <v>64.995000000000005</v>
      </c>
      <c r="D102" s="55">
        <v>29.247750000000003</v>
      </c>
      <c r="E102" s="28" t="s">
        <v>954</v>
      </c>
      <c r="F102" s="55">
        <v>27.200407500000004</v>
      </c>
      <c r="G102" s="29">
        <v>44652</v>
      </c>
      <c r="H102" s="30">
        <v>44926</v>
      </c>
    </row>
    <row r="103" spans="1:8" x14ac:dyDescent="0.2">
      <c r="A103" s="32">
        <v>351046</v>
      </c>
      <c r="B103" s="27" t="s">
        <v>95</v>
      </c>
      <c r="C103" s="55">
        <v>112.5</v>
      </c>
      <c r="D103" s="55">
        <v>50.625</v>
      </c>
      <c r="E103" s="28" t="s">
        <v>954</v>
      </c>
      <c r="F103" s="55">
        <v>47.081250000000004</v>
      </c>
      <c r="G103" s="29">
        <v>44652</v>
      </c>
      <c r="H103" s="30">
        <v>44926</v>
      </c>
    </row>
    <row r="104" spans="1:8" x14ac:dyDescent="0.2">
      <c r="A104" s="32">
        <v>351047</v>
      </c>
      <c r="B104" s="27" t="s">
        <v>95</v>
      </c>
      <c r="C104" s="55">
        <v>111</v>
      </c>
      <c r="D104" s="55">
        <v>49.95</v>
      </c>
      <c r="E104" s="28" t="s">
        <v>954</v>
      </c>
      <c r="F104" s="55">
        <v>46.453500000000005</v>
      </c>
      <c r="G104" s="29">
        <v>44652</v>
      </c>
      <c r="H104" s="30">
        <v>44926</v>
      </c>
    </row>
    <row r="105" spans="1:8" x14ac:dyDescent="0.2">
      <c r="A105" s="32">
        <v>400036</v>
      </c>
      <c r="B105" s="27" t="s">
        <v>1020</v>
      </c>
      <c r="C105" s="55">
        <v>30.42</v>
      </c>
      <c r="D105" s="55">
        <v>13.689000000000002</v>
      </c>
      <c r="E105" s="28" t="s">
        <v>954</v>
      </c>
      <c r="F105" s="55">
        <v>12.730770000000003</v>
      </c>
      <c r="G105" s="29">
        <v>44652</v>
      </c>
      <c r="H105" s="30">
        <v>44926</v>
      </c>
    </row>
    <row r="106" spans="1:8" x14ac:dyDescent="0.2">
      <c r="A106" s="32">
        <v>400038</v>
      </c>
      <c r="B106" s="27" t="s">
        <v>1019</v>
      </c>
      <c r="C106" s="55">
        <v>40.71</v>
      </c>
      <c r="D106" s="55">
        <v>18.319500000000001</v>
      </c>
      <c r="E106" s="28" t="s">
        <v>954</v>
      </c>
      <c r="F106" s="55">
        <v>17.037135000000003</v>
      </c>
      <c r="G106" s="29">
        <v>44652</v>
      </c>
      <c r="H106" s="30">
        <v>44926</v>
      </c>
    </row>
    <row r="107" spans="1:8" x14ac:dyDescent="0.2">
      <c r="A107" s="32">
        <v>400039</v>
      </c>
      <c r="B107" s="27" t="s">
        <v>97</v>
      </c>
      <c r="C107" s="55">
        <v>27.9</v>
      </c>
      <c r="D107" s="55">
        <v>12.555</v>
      </c>
      <c r="E107" s="28" t="s">
        <v>954</v>
      </c>
      <c r="F107" s="55">
        <v>11.67615</v>
      </c>
      <c r="G107" s="29">
        <v>44652</v>
      </c>
      <c r="H107" s="30">
        <v>44926</v>
      </c>
    </row>
    <row r="108" spans="1:8" x14ac:dyDescent="0.2">
      <c r="A108" s="32">
        <v>400040</v>
      </c>
      <c r="B108" s="27" t="s">
        <v>98</v>
      </c>
      <c r="C108" s="55">
        <v>29.86</v>
      </c>
      <c r="D108" s="55">
        <v>13.436999999999999</v>
      </c>
      <c r="E108" s="28" t="s">
        <v>954</v>
      </c>
      <c r="F108" s="55">
        <v>12.496410000000001</v>
      </c>
      <c r="G108" s="29">
        <v>44652</v>
      </c>
      <c r="H108" s="30">
        <v>44926</v>
      </c>
    </row>
    <row r="109" spans="1:8" x14ac:dyDescent="0.2">
      <c r="A109" s="32">
        <v>400041</v>
      </c>
      <c r="B109" s="27" t="s">
        <v>99</v>
      </c>
      <c r="C109" s="55">
        <v>31.6</v>
      </c>
      <c r="D109" s="55">
        <v>14.22</v>
      </c>
      <c r="E109" s="28" t="s">
        <v>954</v>
      </c>
      <c r="F109" s="55">
        <v>13.224600000000001</v>
      </c>
      <c r="G109" s="29">
        <v>44652</v>
      </c>
      <c r="H109" s="30">
        <v>44926</v>
      </c>
    </row>
    <row r="110" spans="1:8" x14ac:dyDescent="0.2">
      <c r="A110" s="32">
        <v>400043</v>
      </c>
      <c r="B110" s="27" t="s">
        <v>100</v>
      </c>
      <c r="C110" s="55">
        <v>31.7</v>
      </c>
      <c r="D110" s="55">
        <v>14.265000000000001</v>
      </c>
      <c r="E110" s="28" t="s">
        <v>954</v>
      </c>
      <c r="F110" s="55">
        <v>13.266450000000001</v>
      </c>
      <c r="G110" s="29">
        <v>44652</v>
      </c>
      <c r="H110" s="30">
        <v>44926</v>
      </c>
    </row>
    <row r="111" spans="1:8" x14ac:dyDescent="0.2">
      <c r="A111" s="32">
        <v>400044</v>
      </c>
      <c r="B111" s="27" t="s">
        <v>101</v>
      </c>
      <c r="C111" s="55">
        <v>38.010000000000005</v>
      </c>
      <c r="D111" s="55">
        <v>17.104500000000002</v>
      </c>
      <c r="E111" s="28" t="s">
        <v>954</v>
      </c>
      <c r="F111" s="55">
        <v>15.907185000000002</v>
      </c>
      <c r="G111" s="29">
        <v>44652</v>
      </c>
      <c r="H111" s="30">
        <v>44926</v>
      </c>
    </row>
    <row r="112" spans="1:8" x14ac:dyDescent="0.2">
      <c r="A112" s="32">
        <v>400045</v>
      </c>
      <c r="B112" s="27" t="s">
        <v>102</v>
      </c>
      <c r="C112" s="55">
        <v>19.425000000000001</v>
      </c>
      <c r="D112" s="55">
        <v>8.7412500000000009</v>
      </c>
      <c r="E112" s="28" t="s">
        <v>954</v>
      </c>
      <c r="F112" s="55">
        <v>8.1293625000000009</v>
      </c>
      <c r="G112" s="29">
        <v>44652</v>
      </c>
      <c r="H112" s="30">
        <v>44926</v>
      </c>
    </row>
    <row r="113" spans="1:8" x14ac:dyDescent="0.2">
      <c r="A113" s="32">
        <v>400048</v>
      </c>
      <c r="B113" s="27" t="s">
        <v>1075</v>
      </c>
      <c r="C113" s="55">
        <v>212.94000000000003</v>
      </c>
      <c r="D113" s="55">
        <v>95.823000000000008</v>
      </c>
      <c r="E113" s="28"/>
      <c r="F113" s="55">
        <v>89.115390000000005</v>
      </c>
      <c r="G113" s="29">
        <v>44652</v>
      </c>
      <c r="H113" s="30">
        <v>44926</v>
      </c>
    </row>
    <row r="114" spans="1:8" x14ac:dyDescent="0.2">
      <c r="A114" s="32">
        <v>400053</v>
      </c>
      <c r="B114" s="27" t="s">
        <v>103</v>
      </c>
      <c r="C114" s="55">
        <v>55.04</v>
      </c>
      <c r="D114" s="55">
        <v>24.768000000000001</v>
      </c>
      <c r="E114" s="28" t="s">
        <v>954</v>
      </c>
      <c r="F114" s="55">
        <v>23.03424</v>
      </c>
      <c r="G114" s="29">
        <v>44652</v>
      </c>
      <c r="H114" s="30">
        <v>44926</v>
      </c>
    </row>
    <row r="115" spans="1:8" x14ac:dyDescent="0.2">
      <c r="A115" s="32">
        <v>400054</v>
      </c>
      <c r="B115" s="27" t="s">
        <v>104</v>
      </c>
      <c r="C115" s="55">
        <v>31.32</v>
      </c>
      <c r="D115" s="55">
        <v>14.094000000000001</v>
      </c>
      <c r="E115" s="28" t="s">
        <v>954</v>
      </c>
      <c r="F115" s="55">
        <v>13.107420000000001</v>
      </c>
      <c r="G115" s="29">
        <v>44652</v>
      </c>
      <c r="H115" s="30">
        <v>44926</v>
      </c>
    </row>
    <row r="116" spans="1:8" x14ac:dyDescent="0.2">
      <c r="A116" s="32">
        <v>400055</v>
      </c>
      <c r="B116" s="27" t="s">
        <v>105</v>
      </c>
      <c r="C116" s="55">
        <v>38.115000000000002</v>
      </c>
      <c r="D116" s="55">
        <v>17.15175</v>
      </c>
      <c r="E116" s="28" t="s">
        <v>954</v>
      </c>
      <c r="F116" s="55">
        <v>15.9511275</v>
      </c>
      <c r="G116" s="29">
        <v>44652</v>
      </c>
      <c r="H116" s="30">
        <v>44926</v>
      </c>
    </row>
    <row r="117" spans="1:8" x14ac:dyDescent="0.2">
      <c r="A117" s="32">
        <v>400059</v>
      </c>
      <c r="B117" s="27" t="s">
        <v>106</v>
      </c>
      <c r="C117" s="55">
        <v>38.597999999999999</v>
      </c>
      <c r="D117" s="55">
        <v>17.3691</v>
      </c>
      <c r="E117" s="28" t="s">
        <v>954</v>
      </c>
      <c r="F117" s="55">
        <v>16.153262999999999</v>
      </c>
      <c r="G117" s="29">
        <v>44652</v>
      </c>
      <c r="H117" s="30">
        <v>44926</v>
      </c>
    </row>
    <row r="118" spans="1:8" x14ac:dyDescent="0.2">
      <c r="A118" s="32">
        <v>400060</v>
      </c>
      <c r="B118" s="27" t="s">
        <v>107</v>
      </c>
      <c r="C118" s="55">
        <v>41.160000000000004</v>
      </c>
      <c r="D118" s="55">
        <v>18.522000000000002</v>
      </c>
      <c r="E118" s="28" t="s">
        <v>954</v>
      </c>
      <c r="F118" s="55">
        <v>17.225460000000002</v>
      </c>
      <c r="G118" s="29">
        <v>44652</v>
      </c>
      <c r="H118" s="30">
        <v>44926</v>
      </c>
    </row>
    <row r="119" spans="1:8" x14ac:dyDescent="0.2">
      <c r="A119" s="32">
        <v>400061</v>
      </c>
      <c r="B119" s="27" t="s">
        <v>1022</v>
      </c>
      <c r="C119" s="55">
        <v>43.165500000000002</v>
      </c>
      <c r="D119" s="55">
        <v>19.424475000000001</v>
      </c>
      <c r="E119" s="28" t="s">
        <v>954</v>
      </c>
      <c r="F119" s="55">
        <v>18.064761750000002</v>
      </c>
      <c r="G119" s="29">
        <v>44652</v>
      </c>
      <c r="H119" s="30">
        <v>44926</v>
      </c>
    </row>
    <row r="120" spans="1:8" x14ac:dyDescent="0.2">
      <c r="A120" s="32">
        <v>400063</v>
      </c>
      <c r="B120" s="27" t="s">
        <v>108</v>
      </c>
      <c r="C120" s="55">
        <v>39.238500000000002</v>
      </c>
      <c r="D120" s="55">
        <v>17.657325</v>
      </c>
      <c r="E120" s="28" t="s">
        <v>954</v>
      </c>
      <c r="F120" s="55">
        <v>16.42131225</v>
      </c>
      <c r="G120" s="29">
        <v>44652</v>
      </c>
      <c r="H120" s="30">
        <v>44926</v>
      </c>
    </row>
    <row r="121" spans="1:8" x14ac:dyDescent="0.2">
      <c r="A121" s="32">
        <v>400064</v>
      </c>
      <c r="B121" s="27" t="s">
        <v>109</v>
      </c>
      <c r="C121" s="55">
        <v>41.98</v>
      </c>
      <c r="D121" s="55">
        <v>18.890999999999998</v>
      </c>
      <c r="E121" s="28" t="s">
        <v>954</v>
      </c>
      <c r="F121" s="55">
        <v>17.568629999999999</v>
      </c>
      <c r="G121" s="29">
        <v>44652</v>
      </c>
      <c r="H121" s="30">
        <v>44926</v>
      </c>
    </row>
    <row r="122" spans="1:8" x14ac:dyDescent="0.2">
      <c r="A122" s="32">
        <v>400066</v>
      </c>
      <c r="B122" s="27" t="s">
        <v>110</v>
      </c>
      <c r="C122" s="55">
        <v>37.200000000000003</v>
      </c>
      <c r="D122" s="55">
        <v>16.740000000000002</v>
      </c>
      <c r="E122" s="28" t="s">
        <v>954</v>
      </c>
      <c r="F122" s="55">
        <v>15.568200000000003</v>
      </c>
      <c r="G122" s="29">
        <v>44652</v>
      </c>
      <c r="H122" s="30">
        <v>44926</v>
      </c>
    </row>
    <row r="123" spans="1:8" x14ac:dyDescent="0.2">
      <c r="A123" s="32">
        <v>400067</v>
      </c>
      <c r="B123" s="27" t="s">
        <v>111</v>
      </c>
      <c r="C123" s="55">
        <v>37.200000000000003</v>
      </c>
      <c r="D123" s="55">
        <v>16.740000000000002</v>
      </c>
      <c r="E123" s="28" t="s">
        <v>954</v>
      </c>
      <c r="F123" s="55">
        <v>15.568200000000003</v>
      </c>
      <c r="G123" s="29">
        <v>44652</v>
      </c>
      <c r="H123" s="30">
        <v>44926</v>
      </c>
    </row>
    <row r="124" spans="1:8" x14ac:dyDescent="0.2">
      <c r="A124" s="32">
        <v>400068</v>
      </c>
      <c r="B124" s="27" t="s">
        <v>112</v>
      </c>
      <c r="C124" s="55">
        <v>38.409999999999997</v>
      </c>
      <c r="D124" s="55">
        <v>17.284499999999998</v>
      </c>
      <c r="E124" s="28" t="s">
        <v>954</v>
      </c>
      <c r="F124" s="55">
        <v>16.074584999999999</v>
      </c>
      <c r="G124" s="29">
        <v>44652</v>
      </c>
      <c r="H124" s="30">
        <v>44926</v>
      </c>
    </row>
    <row r="125" spans="1:8" x14ac:dyDescent="0.2">
      <c r="A125" s="32">
        <v>400075</v>
      </c>
      <c r="B125" s="27" t="s">
        <v>113</v>
      </c>
      <c r="C125" s="55">
        <v>41.52</v>
      </c>
      <c r="D125" s="55">
        <v>18.684000000000001</v>
      </c>
      <c r="E125" s="28" t="s">
        <v>954</v>
      </c>
      <c r="F125" s="55">
        <v>17.37612</v>
      </c>
      <c r="G125" s="29">
        <v>44652</v>
      </c>
      <c r="H125" s="30">
        <v>44926</v>
      </c>
    </row>
    <row r="126" spans="1:8" x14ac:dyDescent="0.2">
      <c r="A126" s="32">
        <v>400077</v>
      </c>
      <c r="B126" s="27" t="s">
        <v>114</v>
      </c>
      <c r="C126" s="55">
        <v>23.761500000000002</v>
      </c>
      <c r="D126" s="55">
        <v>10.692675000000001</v>
      </c>
      <c r="E126" s="28" t="s">
        <v>954</v>
      </c>
      <c r="F126" s="55">
        <v>9.9441877500000011</v>
      </c>
      <c r="G126" s="29">
        <v>44652</v>
      </c>
      <c r="H126" s="30">
        <v>44926</v>
      </c>
    </row>
    <row r="127" spans="1:8" x14ac:dyDescent="0.2">
      <c r="A127" s="32">
        <v>400078</v>
      </c>
      <c r="B127" s="27" t="s">
        <v>115</v>
      </c>
      <c r="C127" s="55">
        <v>58.390500000000003</v>
      </c>
      <c r="D127" s="55">
        <v>26.275725000000001</v>
      </c>
      <c r="E127" s="28" t="s">
        <v>954</v>
      </c>
      <c r="F127" s="55">
        <v>24.436424250000002</v>
      </c>
      <c r="G127" s="29">
        <v>44652</v>
      </c>
      <c r="H127" s="30">
        <v>44926</v>
      </c>
    </row>
    <row r="128" spans="1:8" x14ac:dyDescent="0.2">
      <c r="A128" s="32">
        <v>400080</v>
      </c>
      <c r="B128" s="27" t="s">
        <v>116</v>
      </c>
      <c r="C128" s="55">
        <v>95.04</v>
      </c>
      <c r="D128" s="55">
        <v>42.768000000000001</v>
      </c>
      <c r="E128" s="28" t="s">
        <v>954</v>
      </c>
      <c r="F128" s="55">
        <v>39.774240000000006</v>
      </c>
      <c r="G128" s="29">
        <v>44652</v>
      </c>
      <c r="H128" s="30">
        <v>44926</v>
      </c>
    </row>
    <row r="129" spans="1:8" x14ac:dyDescent="0.2">
      <c r="A129" s="32">
        <v>400082</v>
      </c>
      <c r="B129" s="27" t="s">
        <v>1018</v>
      </c>
      <c r="C129" s="55">
        <v>37.729999999999997</v>
      </c>
      <c r="D129" s="55">
        <v>16.9785</v>
      </c>
      <c r="E129" s="28" t="s">
        <v>954</v>
      </c>
      <c r="F129" s="55">
        <v>15.790005000000001</v>
      </c>
      <c r="G129" s="29">
        <v>44652</v>
      </c>
      <c r="H129" s="30">
        <v>44926</v>
      </c>
    </row>
    <row r="130" spans="1:8" x14ac:dyDescent="0.2">
      <c r="A130" s="32">
        <v>400083</v>
      </c>
      <c r="B130" s="27" t="s">
        <v>1021</v>
      </c>
      <c r="C130" s="55">
        <v>29.65</v>
      </c>
      <c r="D130" s="55">
        <v>13.342499999999999</v>
      </c>
      <c r="E130" s="28" t="s">
        <v>954</v>
      </c>
      <c r="F130" s="55">
        <v>12.408525000000001</v>
      </c>
      <c r="G130" s="29">
        <v>44652</v>
      </c>
      <c r="H130" s="30">
        <v>44926</v>
      </c>
    </row>
    <row r="131" spans="1:8" x14ac:dyDescent="0.2">
      <c r="A131" s="32">
        <v>400085</v>
      </c>
      <c r="B131" s="27" t="s">
        <v>1021</v>
      </c>
      <c r="C131" s="55">
        <v>30.11</v>
      </c>
      <c r="D131" s="55">
        <v>13.5495</v>
      </c>
      <c r="E131" s="28" t="s">
        <v>954</v>
      </c>
      <c r="F131" s="55">
        <v>12.601035000000001</v>
      </c>
      <c r="G131" s="29">
        <v>44652</v>
      </c>
      <c r="H131" s="30">
        <v>44926</v>
      </c>
    </row>
    <row r="132" spans="1:8" x14ac:dyDescent="0.2">
      <c r="A132" s="32">
        <v>400089</v>
      </c>
      <c r="B132" s="27" t="s">
        <v>117</v>
      </c>
      <c r="C132" s="55">
        <v>36.33</v>
      </c>
      <c r="D132" s="55">
        <v>16.348500000000001</v>
      </c>
      <c r="E132" s="28" t="s">
        <v>954</v>
      </c>
      <c r="F132" s="55">
        <v>15.204105000000002</v>
      </c>
      <c r="G132" s="29">
        <v>44652</v>
      </c>
      <c r="H132" s="30">
        <v>44926</v>
      </c>
    </row>
    <row r="133" spans="1:8" x14ac:dyDescent="0.2">
      <c r="A133" s="32">
        <v>400093</v>
      </c>
      <c r="B133" s="27" t="s">
        <v>1017</v>
      </c>
      <c r="C133" s="55">
        <v>59.7</v>
      </c>
      <c r="D133" s="55">
        <v>26.865000000000002</v>
      </c>
      <c r="E133" s="28" t="s">
        <v>954</v>
      </c>
      <c r="F133" s="55">
        <v>24.984450000000002</v>
      </c>
      <c r="G133" s="29">
        <v>44652</v>
      </c>
      <c r="H133" s="30">
        <v>44926</v>
      </c>
    </row>
    <row r="134" spans="1:8" x14ac:dyDescent="0.2">
      <c r="A134" s="32">
        <v>400095</v>
      </c>
      <c r="B134" s="27" t="s">
        <v>118</v>
      </c>
      <c r="C134" s="55">
        <v>34.31</v>
      </c>
      <c r="D134" s="55">
        <v>15.439500000000001</v>
      </c>
      <c r="E134" s="28" t="s">
        <v>954</v>
      </c>
      <c r="F134" s="55">
        <v>14.358735000000001</v>
      </c>
      <c r="G134" s="29">
        <v>44652</v>
      </c>
      <c r="H134" s="30">
        <v>44926</v>
      </c>
    </row>
    <row r="135" spans="1:8" x14ac:dyDescent="0.2">
      <c r="A135" s="32">
        <v>400101</v>
      </c>
      <c r="B135" s="27" t="s">
        <v>1013</v>
      </c>
      <c r="C135" s="55">
        <v>82</v>
      </c>
      <c r="D135" s="55">
        <v>36.9</v>
      </c>
      <c r="E135" s="28" t="s">
        <v>8</v>
      </c>
      <c r="F135" s="55"/>
      <c r="G135" s="29">
        <v>44652</v>
      </c>
      <c r="H135" s="30">
        <v>44926</v>
      </c>
    </row>
    <row r="136" spans="1:8" x14ac:dyDescent="0.2">
      <c r="A136" s="32">
        <v>400116</v>
      </c>
      <c r="B136" s="27" t="s">
        <v>1015</v>
      </c>
      <c r="C136" s="55">
        <v>85</v>
      </c>
      <c r="D136" s="55">
        <v>38.25</v>
      </c>
      <c r="E136" s="28" t="s">
        <v>8</v>
      </c>
      <c r="F136" s="55"/>
      <c r="G136" s="29">
        <v>44652</v>
      </c>
      <c r="H136" s="30">
        <v>44926</v>
      </c>
    </row>
    <row r="137" spans="1:8" x14ac:dyDescent="0.2">
      <c r="A137" s="32">
        <v>400134</v>
      </c>
      <c r="B137" s="27" t="s">
        <v>1016</v>
      </c>
      <c r="C137" s="55">
        <v>66</v>
      </c>
      <c r="D137" s="55">
        <v>29.7</v>
      </c>
      <c r="E137" s="28" t="s">
        <v>8</v>
      </c>
      <c r="F137" s="55"/>
      <c r="G137" s="29">
        <v>44652</v>
      </c>
      <c r="H137" s="30">
        <v>44926</v>
      </c>
    </row>
    <row r="138" spans="1:8" x14ac:dyDescent="0.2">
      <c r="A138" s="32">
        <v>400135</v>
      </c>
      <c r="B138" s="27" t="s">
        <v>1014</v>
      </c>
      <c r="C138" s="55">
        <v>65</v>
      </c>
      <c r="D138" s="55">
        <v>29.25</v>
      </c>
      <c r="E138" s="28" t="s">
        <v>8</v>
      </c>
      <c r="F138" s="55"/>
      <c r="G138" s="29">
        <v>44652</v>
      </c>
      <c r="H138" s="30">
        <v>44926</v>
      </c>
    </row>
    <row r="139" spans="1:8" x14ac:dyDescent="0.2">
      <c r="A139" s="32">
        <v>400544</v>
      </c>
      <c r="B139" s="27" t="s">
        <v>119</v>
      </c>
      <c r="C139" s="55">
        <v>241.22700000000003</v>
      </c>
      <c r="D139" s="55">
        <v>108.55215000000001</v>
      </c>
      <c r="E139" s="28" t="s">
        <v>8</v>
      </c>
      <c r="F139" s="55"/>
      <c r="G139" s="29">
        <v>44652</v>
      </c>
      <c r="H139" s="30">
        <v>44926</v>
      </c>
    </row>
    <row r="140" spans="1:8" x14ac:dyDescent="0.2">
      <c r="A140" s="32">
        <v>402037</v>
      </c>
      <c r="B140" s="27" t="s">
        <v>120</v>
      </c>
      <c r="C140" s="55">
        <v>108.2445</v>
      </c>
      <c r="D140" s="55">
        <v>48.710025000000002</v>
      </c>
      <c r="E140" s="28" t="s">
        <v>954</v>
      </c>
      <c r="F140" s="55">
        <v>45.300323250000005</v>
      </c>
      <c r="G140" s="29">
        <v>44652</v>
      </c>
      <c r="H140" s="30">
        <v>44926</v>
      </c>
    </row>
    <row r="141" spans="1:8" x14ac:dyDescent="0.2">
      <c r="A141" s="32">
        <v>402039</v>
      </c>
      <c r="B141" s="27" t="s">
        <v>121</v>
      </c>
      <c r="C141" s="55">
        <v>82</v>
      </c>
      <c r="D141" s="55">
        <v>36.9</v>
      </c>
      <c r="E141" s="28" t="s">
        <v>954</v>
      </c>
      <c r="F141" s="55">
        <v>34.317</v>
      </c>
      <c r="G141" s="29">
        <v>44652</v>
      </c>
      <c r="H141" s="30">
        <v>44926</v>
      </c>
    </row>
    <row r="142" spans="1:8" x14ac:dyDescent="0.2">
      <c r="A142" s="32">
        <v>402040</v>
      </c>
      <c r="B142" s="27" t="s">
        <v>122</v>
      </c>
      <c r="C142" s="55">
        <v>90.25</v>
      </c>
      <c r="D142" s="55">
        <v>40.612500000000004</v>
      </c>
      <c r="E142" s="28" t="s">
        <v>954</v>
      </c>
      <c r="F142" s="55">
        <v>37.769625000000005</v>
      </c>
      <c r="G142" s="29">
        <v>44652</v>
      </c>
      <c r="H142" s="30">
        <v>44926</v>
      </c>
    </row>
    <row r="143" spans="1:8" x14ac:dyDescent="0.2">
      <c r="A143" s="32">
        <v>402043</v>
      </c>
      <c r="B143" s="27" t="s">
        <v>123</v>
      </c>
      <c r="C143" s="55">
        <v>132.07950000000002</v>
      </c>
      <c r="D143" s="55">
        <v>59.435775000000014</v>
      </c>
      <c r="E143" s="28" t="s">
        <v>954</v>
      </c>
      <c r="F143" s="55">
        <v>55.275270750000018</v>
      </c>
      <c r="G143" s="29">
        <v>44652</v>
      </c>
      <c r="H143" s="30">
        <v>44926</v>
      </c>
    </row>
    <row r="144" spans="1:8" x14ac:dyDescent="0.2">
      <c r="A144" s="32">
        <v>402053</v>
      </c>
      <c r="B144" s="27" t="s">
        <v>124</v>
      </c>
      <c r="C144" s="55">
        <v>100</v>
      </c>
      <c r="D144" s="55">
        <v>45</v>
      </c>
      <c r="E144" s="28"/>
      <c r="F144" s="55">
        <v>41.85</v>
      </c>
      <c r="G144" s="29">
        <v>44652</v>
      </c>
      <c r="H144" s="30">
        <v>44926</v>
      </c>
    </row>
    <row r="145" spans="1:8" x14ac:dyDescent="0.2">
      <c r="A145" s="32">
        <v>402056</v>
      </c>
      <c r="B145" s="27" t="s">
        <v>125</v>
      </c>
      <c r="C145" s="55">
        <v>123.42750000000001</v>
      </c>
      <c r="D145" s="55">
        <v>55.542375000000007</v>
      </c>
      <c r="E145" s="28" t="s">
        <v>954</v>
      </c>
      <c r="F145" s="55">
        <v>51.654408750000009</v>
      </c>
      <c r="G145" s="29">
        <v>44652</v>
      </c>
      <c r="H145" s="30">
        <v>44926</v>
      </c>
    </row>
    <row r="146" spans="1:8" x14ac:dyDescent="0.2">
      <c r="A146" s="32">
        <v>402059</v>
      </c>
      <c r="B146" s="27" t="s">
        <v>126</v>
      </c>
      <c r="C146" s="55">
        <v>96.957000000000008</v>
      </c>
      <c r="D146" s="55">
        <v>43.630650000000003</v>
      </c>
      <c r="E146" s="28" t="s">
        <v>954</v>
      </c>
      <c r="F146" s="55">
        <v>40.576504500000006</v>
      </c>
      <c r="G146" s="29">
        <v>44652</v>
      </c>
      <c r="H146" s="30">
        <v>44926</v>
      </c>
    </row>
    <row r="147" spans="1:8" x14ac:dyDescent="0.2">
      <c r="A147" s="32">
        <v>402060</v>
      </c>
      <c r="B147" s="27" t="s">
        <v>126</v>
      </c>
      <c r="C147" s="55">
        <v>99.08850000000001</v>
      </c>
      <c r="D147" s="55">
        <v>44.589825000000005</v>
      </c>
      <c r="E147" s="28" t="s">
        <v>954</v>
      </c>
      <c r="F147" s="55">
        <v>41.468537250000004</v>
      </c>
      <c r="G147" s="29">
        <v>44652</v>
      </c>
      <c r="H147" s="30">
        <v>44926</v>
      </c>
    </row>
    <row r="148" spans="1:8" x14ac:dyDescent="0.2">
      <c r="A148" s="32">
        <v>402063</v>
      </c>
      <c r="B148" s="27" t="s">
        <v>127</v>
      </c>
      <c r="C148" s="55">
        <v>138.054</v>
      </c>
      <c r="D148" s="55">
        <v>62.124300000000005</v>
      </c>
      <c r="E148" s="28" t="s">
        <v>954</v>
      </c>
      <c r="F148" s="55">
        <v>57.775599000000007</v>
      </c>
      <c r="G148" s="29">
        <v>44652</v>
      </c>
      <c r="H148" s="30">
        <v>44926</v>
      </c>
    </row>
    <row r="149" spans="1:8" x14ac:dyDescent="0.2">
      <c r="A149" s="32">
        <v>402065</v>
      </c>
      <c r="B149" s="27" t="s">
        <v>128</v>
      </c>
      <c r="C149" s="55">
        <v>113.5155</v>
      </c>
      <c r="D149" s="55">
        <v>51.081975</v>
      </c>
      <c r="E149" s="28" t="s">
        <v>954</v>
      </c>
      <c r="F149" s="55">
        <v>47.506236749999999</v>
      </c>
      <c r="G149" s="29">
        <v>44652</v>
      </c>
      <c r="H149" s="30">
        <v>44926</v>
      </c>
    </row>
    <row r="150" spans="1:8" x14ac:dyDescent="0.2">
      <c r="A150" s="32">
        <v>402066</v>
      </c>
      <c r="B150" s="27" t="s">
        <v>129</v>
      </c>
      <c r="C150" s="55">
        <v>90.35</v>
      </c>
      <c r="D150" s="55">
        <v>40.657499999999999</v>
      </c>
      <c r="E150" s="28" t="s">
        <v>954</v>
      </c>
      <c r="F150" s="55">
        <v>37.811475000000002</v>
      </c>
      <c r="G150" s="29">
        <v>44652</v>
      </c>
      <c r="H150" s="30">
        <v>44926</v>
      </c>
    </row>
    <row r="151" spans="1:8" x14ac:dyDescent="0.2">
      <c r="A151" s="32">
        <v>402067</v>
      </c>
      <c r="B151" s="27" t="s">
        <v>129</v>
      </c>
      <c r="C151" s="55">
        <v>96.6</v>
      </c>
      <c r="D151" s="55">
        <v>43.47</v>
      </c>
      <c r="E151" s="28" t="s">
        <v>954</v>
      </c>
      <c r="F151" s="55">
        <v>40.427100000000003</v>
      </c>
      <c r="G151" s="29">
        <v>44652</v>
      </c>
      <c r="H151" s="30">
        <v>44926</v>
      </c>
    </row>
    <row r="152" spans="1:8" x14ac:dyDescent="0.2">
      <c r="A152" s="32">
        <v>402070</v>
      </c>
      <c r="B152" s="27" t="s">
        <v>130</v>
      </c>
      <c r="C152" s="55">
        <v>110.1555</v>
      </c>
      <c r="D152" s="55">
        <v>49.569974999999999</v>
      </c>
      <c r="E152" s="28" t="s">
        <v>954</v>
      </c>
      <c r="F152" s="55">
        <v>46.100076749999999</v>
      </c>
      <c r="G152" s="29">
        <v>44652</v>
      </c>
      <c r="H152" s="30">
        <v>44926</v>
      </c>
    </row>
    <row r="153" spans="1:8" x14ac:dyDescent="0.2">
      <c r="A153" s="32">
        <v>402075</v>
      </c>
      <c r="B153" s="27" t="s">
        <v>131</v>
      </c>
      <c r="C153" s="55">
        <v>141.54000000000002</v>
      </c>
      <c r="D153" s="55">
        <v>63.693000000000012</v>
      </c>
      <c r="E153" s="28"/>
      <c r="F153" s="55">
        <v>59.234490000000015</v>
      </c>
      <c r="G153" s="29">
        <v>44652</v>
      </c>
      <c r="H153" s="30">
        <v>44926</v>
      </c>
    </row>
    <row r="154" spans="1:8" x14ac:dyDescent="0.2">
      <c r="A154" s="32">
        <v>402083</v>
      </c>
      <c r="B154" s="27" t="s">
        <v>1249</v>
      </c>
      <c r="C154" s="55">
        <v>110.3655</v>
      </c>
      <c r="D154" s="55">
        <v>49.664475000000003</v>
      </c>
      <c r="E154" s="28" t="s">
        <v>954</v>
      </c>
      <c r="F154" s="55">
        <v>46.187961750000007</v>
      </c>
      <c r="G154" s="29">
        <v>44652</v>
      </c>
      <c r="H154" s="30">
        <v>44926</v>
      </c>
    </row>
    <row r="155" spans="1:8" x14ac:dyDescent="0.2">
      <c r="A155" s="32">
        <v>402086</v>
      </c>
      <c r="B155" s="27" t="s">
        <v>132</v>
      </c>
      <c r="C155" s="55">
        <v>93.05</v>
      </c>
      <c r="D155" s="55">
        <v>41.872500000000002</v>
      </c>
      <c r="E155" s="28" t="s">
        <v>954</v>
      </c>
      <c r="F155" s="55">
        <v>38.941425000000002</v>
      </c>
      <c r="G155" s="29">
        <v>44652</v>
      </c>
      <c r="H155" s="30">
        <v>44926</v>
      </c>
    </row>
    <row r="156" spans="1:8" x14ac:dyDescent="0.2">
      <c r="A156" s="32">
        <v>402089</v>
      </c>
      <c r="B156" s="27" t="s">
        <v>133</v>
      </c>
      <c r="C156" s="55">
        <v>146.00250000000003</v>
      </c>
      <c r="D156" s="55">
        <v>65.701125000000019</v>
      </c>
      <c r="E156" s="28" t="s">
        <v>954</v>
      </c>
      <c r="F156" s="55">
        <v>61.102046250000022</v>
      </c>
      <c r="G156" s="29">
        <v>44652</v>
      </c>
      <c r="H156" s="30">
        <v>44926</v>
      </c>
    </row>
    <row r="157" spans="1:8" x14ac:dyDescent="0.2">
      <c r="A157" s="32">
        <v>402093</v>
      </c>
      <c r="B157" s="27" t="s">
        <v>134</v>
      </c>
      <c r="C157" s="55">
        <v>118.2</v>
      </c>
      <c r="D157" s="55">
        <v>53.190000000000005</v>
      </c>
      <c r="E157" s="28" t="s">
        <v>954</v>
      </c>
      <c r="F157" s="55">
        <v>49.46670000000001</v>
      </c>
      <c r="G157" s="29">
        <v>44652</v>
      </c>
      <c r="H157" s="30">
        <v>44926</v>
      </c>
    </row>
    <row r="158" spans="1:8" x14ac:dyDescent="0.2">
      <c r="A158" s="32">
        <v>402100</v>
      </c>
      <c r="B158" s="27" t="s">
        <v>135</v>
      </c>
      <c r="C158" s="55">
        <v>118</v>
      </c>
      <c r="D158" s="55">
        <v>53.1</v>
      </c>
      <c r="E158" s="28" t="s">
        <v>8</v>
      </c>
      <c r="F158" s="55"/>
      <c r="G158" s="29">
        <v>44652</v>
      </c>
      <c r="H158" s="30">
        <v>44926</v>
      </c>
    </row>
    <row r="159" spans="1:8" x14ac:dyDescent="0.2">
      <c r="A159" s="32">
        <v>402101</v>
      </c>
      <c r="B159" s="27" t="s">
        <v>149</v>
      </c>
      <c r="C159" s="55">
        <v>123</v>
      </c>
      <c r="D159" s="55">
        <v>55.35</v>
      </c>
      <c r="E159" s="28" t="s">
        <v>8</v>
      </c>
      <c r="F159" s="55"/>
      <c r="G159" s="29">
        <v>44652</v>
      </c>
      <c r="H159" s="30">
        <v>44926</v>
      </c>
    </row>
    <row r="160" spans="1:8" x14ac:dyDescent="0.2">
      <c r="A160" s="32">
        <v>402102</v>
      </c>
      <c r="B160" s="27" t="s">
        <v>136</v>
      </c>
      <c r="C160" s="55">
        <v>117</v>
      </c>
      <c r="D160" s="55">
        <v>52.65</v>
      </c>
      <c r="E160" s="28" t="s">
        <v>8</v>
      </c>
      <c r="F160" s="55"/>
      <c r="G160" s="29">
        <v>44652</v>
      </c>
      <c r="H160" s="30">
        <v>44926</v>
      </c>
    </row>
    <row r="161" spans="1:8" x14ac:dyDescent="0.2">
      <c r="A161" s="32">
        <v>402103</v>
      </c>
      <c r="B161" s="27" t="s">
        <v>137</v>
      </c>
      <c r="C161" s="55">
        <v>122</v>
      </c>
      <c r="D161" s="55">
        <v>54.9</v>
      </c>
      <c r="E161" s="28" t="s">
        <v>8</v>
      </c>
      <c r="F161" s="55"/>
      <c r="G161" s="29">
        <v>44652</v>
      </c>
      <c r="H161" s="30">
        <v>44926</v>
      </c>
    </row>
    <row r="162" spans="1:8" x14ac:dyDescent="0.2">
      <c r="A162" s="32">
        <v>402104</v>
      </c>
      <c r="B162" s="27" t="s">
        <v>1236</v>
      </c>
      <c r="C162" s="55">
        <v>125</v>
      </c>
      <c r="D162" s="55">
        <v>56.25</v>
      </c>
      <c r="E162" s="28" t="s">
        <v>8</v>
      </c>
      <c r="F162" s="55"/>
      <c r="G162" s="29">
        <v>44652</v>
      </c>
      <c r="H162" s="30">
        <v>44926</v>
      </c>
    </row>
    <row r="163" spans="1:8" x14ac:dyDescent="0.2">
      <c r="A163" s="32">
        <v>402105</v>
      </c>
      <c r="B163" s="27" t="s">
        <v>138</v>
      </c>
      <c r="C163" s="55">
        <v>116</v>
      </c>
      <c r="D163" s="55">
        <v>52.2</v>
      </c>
      <c r="E163" s="28" t="s">
        <v>8</v>
      </c>
      <c r="F163" s="55"/>
      <c r="G163" s="29">
        <v>44652</v>
      </c>
      <c r="H163" s="30">
        <v>44926</v>
      </c>
    </row>
    <row r="164" spans="1:8" x14ac:dyDescent="0.2">
      <c r="A164" s="32">
        <v>402106</v>
      </c>
      <c r="B164" s="27" t="s">
        <v>1235</v>
      </c>
      <c r="C164" s="55">
        <v>120</v>
      </c>
      <c r="D164" s="55">
        <v>54</v>
      </c>
      <c r="E164" s="28" t="s">
        <v>8</v>
      </c>
      <c r="F164" s="55"/>
      <c r="G164" s="29">
        <v>44652</v>
      </c>
      <c r="H164" s="30">
        <v>44926</v>
      </c>
    </row>
    <row r="165" spans="1:8" x14ac:dyDescent="0.2">
      <c r="A165" s="32">
        <v>402107</v>
      </c>
      <c r="B165" s="27" t="s">
        <v>1234</v>
      </c>
      <c r="C165" s="55">
        <v>118</v>
      </c>
      <c r="D165" s="55">
        <v>53.1</v>
      </c>
      <c r="E165" s="28" t="s">
        <v>8</v>
      </c>
      <c r="F165" s="55"/>
      <c r="G165" s="29">
        <v>44652</v>
      </c>
      <c r="H165" s="30">
        <v>44926</v>
      </c>
    </row>
    <row r="166" spans="1:8" x14ac:dyDescent="0.2">
      <c r="A166" s="32">
        <v>402110</v>
      </c>
      <c r="B166" s="27" t="s">
        <v>139</v>
      </c>
      <c r="C166" s="55">
        <v>120</v>
      </c>
      <c r="D166" s="55">
        <v>54</v>
      </c>
      <c r="E166" s="28" t="s">
        <v>8</v>
      </c>
      <c r="F166" s="55"/>
      <c r="G166" s="29">
        <v>44652</v>
      </c>
      <c r="H166" s="30">
        <v>44926</v>
      </c>
    </row>
    <row r="167" spans="1:8" x14ac:dyDescent="0.2">
      <c r="A167" s="32">
        <v>402111</v>
      </c>
      <c r="B167" s="27" t="s">
        <v>140</v>
      </c>
      <c r="C167" s="55">
        <v>120</v>
      </c>
      <c r="D167" s="55">
        <v>54</v>
      </c>
      <c r="E167" s="28" t="s">
        <v>8</v>
      </c>
      <c r="F167" s="55"/>
      <c r="G167" s="29">
        <v>44652</v>
      </c>
      <c r="H167" s="30">
        <v>44926</v>
      </c>
    </row>
    <row r="168" spans="1:8" x14ac:dyDescent="0.2">
      <c r="A168" s="32">
        <v>402112</v>
      </c>
      <c r="B168" s="27" t="s">
        <v>141</v>
      </c>
      <c r="C168" s="55">
        <v>117</v>
      </c>
      <c r="D168" s="55">
        <v>52.65</v>
      </c>
      <c r="E168" s="28" t="s">
        <v>8</v>
      </c>
      <c r="F168" s="55"/>
      <c r="G168" s="29">
        <v>44652</v>
      </c>
      <c r="H168" s="30">
        <v>44926</v>
      </c>
    </row>
    <row r="169" spans="1:8" x14ac:dyDescent="0.2">
      <c r="A169" s="32">
        <v>402113</v>
      </c>
      <c r="B169" s="27" t="s">
        <v>142</v>
      </c>
      <c r="C169" s="55">
        <v>118</v>
      </c>
      <c r="D169" s="55">
        <v>53.1</v>
      </c>
      <c r="E169" s="28" t="s">
        <v>8</v>
      </c>
      <c r="F169" s="55"/>
      <c r="G169" s="29">
        <v>44652</v>
      </c>
      <c r="H169" s="30">
        <v>44926</v>
      </c>
    </row>
    <row r="170" spans="1:8" x14ac:dyDescent="0.2">
      <c r="A170" s="32">
        <v>402120</v>
      </c>
      <c r="B170" s="27" t="s">
        <v>143</v>
      </c>
      <c r="C170" s="55">
        <v>133.9905</v>
      </c>
      <c r="D170" s="55">
        <v>60.295724999999997</v>
      </c>
      <c r="E170" s="28" t="s">
        <v>8</v>
      </c>
      <c r="F170" s="55"/>
      <c r="G170" s="29">
        <v>44652</v>
      </c>
      <c r="H170" s="30">
        <v>44926</v>
      </c>
    </row>
    <row r="171" spans="1:8" x14ac:dyDescent="0.2">
      <c r="A171" s="32">
        <v>402121</v>
      </c>
      <c r="B171" s="27" t="s">
        <v>1244</v>
      </c>
      <c r="C171" s="55">
        <v>133.9905</v>
      </c>
      <c r="D171" s="55">
        <v>60.295724999999997</v>
      </c>
      <c r="E171" s="28" t="s">
        <v>8</v>
      </c>
      <c r="F171" s="55"/>
      <c r="G171" s="29">
        <v>44652</v>
      </c>
      <c r="H171" s="30">
        <v>44926</v>
      </c>
    </row>
    <row r="172" spans="1:8" x14ac:dyDescent="0.2">
      <c r="A172" s="32">
        <v>402122</v>
      </c>
      <c r="B172" s="27" t="s">
        <v>144</v>
      </c>
      <c r="C172" s="55">
        <v>134.72550000000001</v>
      </c>
      <c r="D172" s="55">
        <v>60.626475000000006</v>
      </c>
      <c r="E172" s="28" t="s">
        <v>8</v>
      </c>
      <c r="F172" s="55"/>
      <c r="G172" s="29">
        <v>44652</v>
      </c>
      <c r="H172" s="30">
        <v>44926</v>
      </c>
    </row>
    <row r="173" spans="1:8" x14ac:dyDescent="0.2">
      <c r="A173" s="32">
        <v>402123</v>
      </c>
      <c r="B173" s="27" t="s">
        <v>145</v>
      </c>
      <c r="C173" s="55">
        <v>134.62050000000002</v>
      </c>
      <c r="D173" s="55">
        <v>60.579225000000008</v>
      </c>
      <c r="E173" s="28" t="s">
        <v>8</v>
      </c>
      <c r="F173" s="55"/>
      <c r="G173" s="29">
        <v>44652</v>
      </c>
      <c r="H173" s="30">
        <v>44926</v>
      </c>
    </row>
    <row r="174" spans="1:8" x14ac:dyDescent="0.2">
      <c r="A174" s="32">
        <v>402125</v>
      </c>
      <c r="B174" s="27" t="s">
        <v>1239</v>
      </c>
      <c r="C174" s="55">
        <v>149</v>
      </c>
      <c r="D174" s="55">
        <v>67.05</v>
      </c>
      <c r="E174" s="28" t="s">
        <v>8</v>
      </c>
      <c r="F174" s="55"/>
      <c r="G174" s="29">
        <v>44652</v>
      </c>
      <c r="H174" s="30">
        <v>44926</v>
      </c>
    </row>
    <row r="175" spans="1:8" x14ac:dyDescent="0.2">
      <c r="A175" s="32">
        <v>402134</v>
      </c>
      <c r="B175" s="27" t="s">
        <v>1240</v>
      </c>
      <c r="C175" s="55">
        <v>149</v>
      </c>
      <c r="D175" s="55">
        <v>67.05</v>
      </c>
      <c r="E175" s="28" t="s">
        <v>8</v>
      </c>
      <c r="F175" s="55"/>
      <c r="G175" s="29">
        <v>44652</v>
      </c>
      <c r="H175" s="30">
        <v>44926</v>
      </c>
    </row>
    <row r="176" spans="1:8" x14ac:dyDescent="0.2">
      <c r="A176" s="32">
        <v>402140</v>
      </c>
      <c r="B176" s="27" t="s">
        <v>146</v>
      </c>
      <c r="C176" s="55">
        <v>166.27800000000002</v>
      </c>
      <c r="D176" s="55">
        <v>74.825100000000006</v>
      </c>
      <c r="E176" s="28"/>
      <c r="F176" s="55">
        <v>69.587343000000004</v>
      </c>
      <c r="G176" s="29">
        <v>44652</v>
      </c>
      <c r="H176" s="30">
        <v>44926</v>
      </c>
    </row>
    <row r="177" spans="1:8" x14ac:dyDescent="0.2">
      <c r="A177" s="32">
        <v>402141</v>
      </c>
      <c r="B177" s="27" t="s">
        <v>1250</v>
      </c>
      <c r="C177" s="55">
        <v>166.27800000000002</v>
      </c>
      <c r="D177" s="55">
        <v>74.825100000000006</v>
      </c>
      <c r="E177" s="28" t="s">
        <v>954</v>
      </c>
      <c r="F177" s="55">
        <v>69.587343000000004</v>
      </c>
      <c r="G177" s="29">
        <v>44652</v>
      </c>
      <c r="H177" s="30">
        <v>44926</v>
      </c>
    </row>
    <row r="178" spans="1:8" x14ac:dyDescent="0.2">
      <c r="A178" s="32">
        <v>403041</v>
      </c>
      <c r="B178" s="27" t="s">
        <v>1246</v>
      </c>
      <c r="C178" s="55">
        <v>129.59100000000001</v>
      </c>
      <c r="D178" s="55">
        <v>58.315950000000008</v>
      </c>
      <c r="E178" s="28" t="s">
        <v>954</v>
      </c>
      <c r="F178" s="55">
        <v>54.23383350000001</v>
      </c>
      <c r="G178" s="29">
        <v>44652</v>
      </c>
      <c r="H178" s="30">
        <v>44926</v>
      </c>
    </row>
    <row r="179" spans="1:8" x14ac:dyDescent="0.2">
      <c r="A179" s="32">
        <v>403043</v>
      </c>
      <c r="B179" s="27" t="s">
        <v>147</v>
      </c>
      <c r="C179" s="55">
        <v>146.601</v>
      </c>
      <c r="D179" s="55">
        <v>65.97045</v>
      </c>
      <c r="E179" s="28" t="s">
        <v>954</v>
      </c>
      <c r="F179" s="55">
        <v>61.352518500000002</v>
      </c>
      <c r="G179" s="29">
        <v>44652</v>
      </c>
      <c r="H179" s="30">
        <v>44926</v>
      </c>
    </row>
    <row r="180" spans="1:8" x14ac:dyDescent="0.2">
      <c r="A180" s="32">
        <v>403053</v>
      </c>
      <c r="B180" s="27" t="s">
        <v>1245</v>
      </c>
      <c r="C180" s="55">
        <v>97</v>
      </c>
      <c r="D180" s="55">
        <v>43.65</v>
      </c>
      <c r="E180" s="28" t="s">
        <v>954</v>
      </c>
      <c r="F180" s="55">
        <v>40.594500000000004</v>
      </c>
      <c r="G180" s="29">
        <v>44652</v>
      </c>
      <c r="H180" s="30">
        <v>44926</v>
      </c>
    </row>
    <row r="181" spans="1:8" x14ac:dyDescent="0.2">
      <c r="A181" s="32">
        <v>403061</v>
      </c>
      <c r="B181" s="27" t="s">
        <v>148</v>
      </c>
      <c r="C181" s="55">
        <v>136.27949999999998</v>
      </c>
      <c r="D181" s="55">
        <v>61.325774999999993</v>
      </c>
      <c r="E181" s="28" t="s">
        <v>954</v>
      </c>
      <c r="F181" s="55">
        <v>57.032970749999997</v>
      </c>
      <c r="G181" s="29">
        <v>44652</v>
      </c>
      <c r="H181" s="30">
        <v>44926</v>
      </c>
    </row>
    <row r="182" spans="1:8" x14ac:dyDescent="0.2">
      <c r="A182" s="32">
        <v>403101</v>
      </c>
      <c r="B182" s="27" t="s">
        <v>149</v>
      </c>
      <c r="C182" s="55">
        <v>110</v>
      </c>
      <c r="D182" s="55">
        <v>49.5</v>
      </c>
      <c r="E182" s="28" t="s">
        <v>8</v>
      </c>
      <c r="F182" s="55"/>
      <c r="G182" s="29">
        <v>44652</v>
      </c>
      <c r="H182" s="30">
        <v>44926</v>
      </c>
    </row>
    <row r="183" spans="1:8" x14ac:dyDescent="0.2">
      <c r="A183" s="32">
        <v>404000</v>
      </c>
      <c r="B183" s="27" t="s">
        <v>1009</v>
      </c>
      <c r="C183" s="55">
        <v>116.22</v>
      </c>
      <c r="D183" s="55">
        <v>52.298999999999999</v>
      </c>
      <c r="E183" s="28" t="s">
        <v>954</v>
      </c>
      <c r="F183" s="55">
        <v>48.638069999999999</v>
      </c>
      <c r="G183" s="29">
        <v>44652</v>
      </c>
      <c r="H183" s="30">
        <v>44926</v>
      </c>
    </row>
    <row r="184" spans="1:8" x14ac:dyDescent="0.2">
      <c r="A184" s="32">
        <v>404002</v>
      </c>
      <c r="B184" s="27" t="s">
        <v>150</v>
      </c>
      <c r="C184" s="55">
        <v>329.97300000000001</v>
      </c>
      <c r="D184" s="55">
        <v>148.48785000000001</v>
      </c>
      <c r="E184" s="28" t="s">
        <v>954</v>
      </c>
      <c r="F184" s="55">
        <v>138.09370050000001</v>
      </c>
      <c r="G184" s="29">
        <v>44652</v>
      </c>
      <c r="H184" s="30">
        <v>44926</v>
      </c>
    </row>
    <row r="185" spans="1:8" x14ac:dyDescent="0.2">
      <c r="A185" s="32">
        <v>404003</v>
      </c>
      <c r="B185" s="27" t="s">
        <v>1206</v>
      </c>
      <c r="C185" s="55">
        <v>350.89949999999999</v>
      </c>
      <c r="D185" s="55">
        <v>157.904775</v>
      </c>
      <c r="E185" s="28" t="s">
        <v>954</v>
      </c>
      <c r="F185" s="55">
        <v>146.85144074999999</v>
      </c>
      <c r="G185" s="29">
        <v>44652</v>
      </c>
      <c r="H185" s="30">
        <v>44926</v>
      </c>
    </row>
    <row r="186" spans="1:8" x14ac:dyDescent="0.2">
      <c r="A186" s="32">
        <v>405114</v>
      </c>
      <c r="B186" s="27" t="s">
        <v>1237</v>
      </c>
      <c r="C186" s="55">
        <v>158</v>
      </c>
      <c r="D186" s="55">
        <v>71.100000000000009</v>
      </c>
      <c r="E186" s="28" t="s">
        <v>8</v>
      </c>
      <c r="F186" s="55"/>
      <c r="G186" s="29">
        <v>44652</v>
      </c>
      <c r="H186" s="30">
        <v>44926</v>
      </c>
    </row>
    <row r="187" spans="1:8" x14ac:dyDescent="0.2">
      <c r="A187" s="32">
        <v>405115</v>
      </c>
      <c r="B187" s="27" t="s">
        <v>1238</v>
      </c>
      <c r="C187" s="55">
        <v>156</v>
      </c>
      <c r="D187" s="55">
        <v>70.2</v>
      </c>
      <c r="E187" s="28" t="s">
        <v>8</v>
      </c>
      <c r="F187" s="55"/>
      <c r="G187" s="29">
        <v>44652</v>
      </c>
      <c r="H187" s="30">
        <v>44926</v>
      </c>
    </row>
    <row r="188" spans="1:8" x14ac:dyDescent="0.2">
      <c r="A188" s="32">
        <v>405204</v>
      </c>
      <c r="B188" s="27" t="s">
        <v>1241</v>
      </c>
      <c r="C188" s="55">
        <v>174</v>
      </c>
      <c r="D188" s="55">
        <v>78.3</v>
      </c>
      <c r="E188" s="28" t="s">
        <v>8</v>
      </c>
      <c r="F188" s="55"/>
      <c r="G188" s="29">
        <v>44652</v>
      </c>
      <c r="H188" s="30">
        <v>44926</v>
      </c>
    </row>
    <row r="189" spans="1:8" x14ac:dyDescent="0.2">
      <c r="A189" s="32">
        <v>405205</v>
      </c>
      <c r="B189" s="27" t="s">
        <v>1242</v>
      </c>
      <c r="C189" s="55">
        <v>174</v>
      </c>
      <c r="D189" s="55">
        <v>78.3</v>
      </c>
      <c r="E189" s="28" t="s">
        <v>8</v>
      </c>
      <c r="F189" s="55"/>
      <c r="G189" s="29">
        <v>44652</v>
      </c>
      <c r="H189" s="30">
        <v>44926</v>
      </c>
    </row>
    <row r="190" spans="1:8" x14ac:dyDescent="0.2">
      <c r="A190" s="32">
        <v>405217</v>
      </c>
      <c r="B190" s="27" t="s">
        <v>1243</v>
      </c>
      <c r="C190" s="55">
        <v>174</v>
      </c>
      <c r="D190" s="55">
        <v>78.3</v>
      </c>
      <c r="E190" s="28" t="s">
        <v>8</v>
      </c>
      <c r="F190" s="55"/>
      <c r="G190" s="29">
        <v>44652</v>
      </c>
      <c r="H190" s="30">
        <v>44926</v>
      </c>
    </row>
    <row r="191" spans="1:8" x14ac:dyDescent="0.2">
      <c r="A191" s="32">
        <v>407001</v>
      </c>
      <c r="B191" s="27" t="s">
        <v>1247</v>
      </c>
      <c r="C191" s="55">
        <v>116.44500000000001</v>
      </c>
      <c r="D191" s="55">
        <v>52.400250000000007</v>
      </c>
      <c r="E191" s="28" t="s">
        <v>954</v>
      </c>
      <c r="F191" s="55">
        <v>48.732232500000009</v>
      </c>
      <c r="G191" s="29">
        <v>44652</v>
      </c>
      <c r="H191" s="30">
        <v>44926</v>
      </c>
    </row>
    <row r="192" spans="1:8" x14ac:dyDescent="0.2">
      <c r="A192" s="32">
        <v>407002</v>
      </c>
      <c r="B192" s="27" t="s">
        <v>1248</v>
      </c>
      <c r="C192" s="55">
        <v>116.44500000000001</v>
      </c>
      <c r="D192" s="55">
        <v>52.400250000000007</v>
      </c>
      <c r="E192" s="28" t="s">
        <v>954</v>
      </c>
      <c r="F192" s="55">
        <v>48.732232500000009</v>
      </c>
      <c r="G192" s="29">
        <v>44652</v>
      </c>
      <c r="H192" s="30">
        <v>44926</v>
      </c>
    </row>
    <row r="193" spans="1:8" x14ac:dyDescent="0.2">
      <c r="A193" s="32">
        <v>407097</v>
      </c>
      <c r="B193" s="27" t="s">
        <v>151</v>
      </c>
      <c r="C193" s="55">
        <v>112.29750000000001</v>
      </c>
      <c r="D193" s="55">
        <v>50.533875000000009</v>
      </c>
      <c r="E193" s="28" t="s">
        <v>954</v>
      </c>
      <c r="F193" s="55">
        <v>46.996503750000009</v>
      </c>
      <c r="G193" s="29">
        <v>44652</v>
      </c>
      <c r="H193" s="30">
        <v>44926</v>
      </c>
    </row>
    <row r="194" spans="1:8" x14ac:dyDescent="0.2">
      <c r="A194" s="32">
        <v>410002</v>
      </c>
      <c r="B194" s="27" t="s">
        <v>1202</v>
      </c>
      <c r="C194" s="55">
        <v>233.898</v>
      </c>
      <c r="D194" s="55">
        <v>105.25409999999999</v>
      </c>
      <c r="E194" s="28" t="s">
        <v>8</v>
      </c>
      <c r="F194" s="55"/>
      <c r="G194" s="29">
        <v>44652</v>
      </c>
      <c r="H194" s="30">
        <v>44926</v>
      </c>
    </row>
    <row r="195" spans="1:8" x14ac:dyDescent="0.2">
      <c r="A195" s="32">
        <v>410004</v>
      </c>
      <c r="B195" s="27" t="s">
        <v>1203</v>
      </c>
      <c r="C195" s="55">
        <v>233.02650000000003</v>
      </c>
      <c r="D195" s="55">
        <v>104.86192500000001</v>
      </c>
      <c r="E195" s="28" t="s">
        <v>8</v>
      </c>
      <c r="F195" s="55"/>
      <c r="G195" s="29">
        <v>44652</v>
      </c>
      <c r="H195" s="30">
        <v>44926</v>
      </c>
    </row>
    <row r="196" spans="1:8" x14ac:dyDescent="0.2">
      <c r="A196" s="32">
        <v>410013</v>
      </c>
      <c r="B196" s="27" t="s">
        <v>152</v>
      </c>
      <c r="C196" s="55">
        <v>136.23750000000001</v>
      </c>
      <c r="D196" s="55">
        <v>61.306875000000005</v>
      </c>
      <c r="E196" s="28" t="s">
        <v>8</v>
      </c>
      <c r="F196" s="55"/>
      <c r="G196" s="29">
        <v>44652</v>
      </c>
      <c r="H196" s="30">
        <v>44926</v>
      </c>
    </row>
    <row r="197" spans="1:8" x14ac:dyDescent="0.2">
      <c r="A197" s="32">
        <v>410014</v>
      </c>
      <c r="B197" s="27" t="s">
        <v>1201</v>
      </c>
      <c r="C197" s="55">
        <v>199.73099999999999</v>
      </c>
      <c r="D197" s="55">
        <v>89.878950000000003</v>
      </c>
      <c r="E197" s="28" t="s">
        <v>8</v>
      </c>
      <c r="F197" s="55"/>
      <c r="G197" s="29">
        <v>44652</v>
      </c>
      <c r="H197" s="30">
        <v>44926</v>
      </c>
    </row>
    <row r="198" spans="1:8" x14ac:dyDescent="0.2">
      <c r="A198" s="32">
        <v>410015</v>
      </c>
      <c r="B198" s="27" t="s">
        <v>153</v>
      </c>
      <c r="C198" s="55">
        <v>136.64699999999999</v>
      </c>
      <c r="D198" s="55">
        <v>61.491149999999998</v>
      </c>
      <c r="E198" s="28" t="s">
        <v>8</v>
      </c>
      <c r="F198" s="55"/>
      <c r="G198" s="29">
        <v>44652</v>
      </c>
      <c r="H198" s="30">
        <v>44926</v>
      </c>
    </row>
    <row r="199" spans="1:8" x14ac:dyDescent="0.2">
      <c r="A199" s="32">
        <v>410016</v>
      </c>
      <c r="B199" s="27" t="s">
        <v>1200</v>
      </c>
      <c r="C199" s="55">
        <v>199.65750000000003</v>
      </c>
      <c r="D199" s="55">
        <v>89.845875000000021</v>
      </c>
      <c r="E199" s="28" t="s">
        <v>8</v>
      </c>
      <c r="F199" s="55"/>
      <c r="G199" s="29">
        <v>44652</v>
      </c>
      <c r="H199" s="30">
        <v>44926</v>
      </c>
    </row>
    <row r="200" spans="1:8" x14ac:dyDescent="0.2">
      <c r="A200" s="32">
        <v>410018</v>
      </c>
      <c r="B200" s="27" t="s">
        <v>1204</v>
      </c>
      <c r="C200" s="55">
        <v>233.61450000000002</v>
      </c>
      <c r="D200" s="55">
        <v>105.12652500000002</v>
      </c>
      <c r="E200" s="28" t="s">
        <v>8</v>
      </c>
      <c r="F200" s="55"/>
      <c r="G200" s="29">
        <v>44652</v>
      </c>
      <c r="H200" s="30">
        <v>44926</v>
      </c>
    </row>
    <row r="201" spans="1:8" x14ac:dyDescent="0.2">
      <c r="A201" s="32">
        <v>410020</v>
      </c>
      <c r="B201" s="27" t="s">
        <v>1205</v>
      </c>
      <c r="C201" s="55">
        <v>232.4385</v>
      </c>
      <c r="D201" s="55">
        <v>104.597325</v>
      </c>
      <c r="E201" s="28" t="s">
        <v>8</v>
      </c>
      <c r="F201" s="55"/>
      <c r="G201" s="29">
        <v>44652</v>
      </c>
      <c r="H201" s="30">
        <v>44926</v>
      </c>
    </row>
    <row r="202" spans="1:8" x14ac:dyDescent="0.2">
      <c r="A202" s="32">
        <v>412017</v>
      </c>
      <c r="B202" s="27" t="s">
        <v>154</v>
      </c>
      <c r="C202" s="55">
        <v>311.10450000000003</v>
      </c>
      <c r="D202" s="55">
        <v>139.99702500000001</v>
      </c>
      <c r="E202" s="28" t="s">
        <v>8</v>
      </c>
      <c r="F202" s="55"/>
      <c r="G202" s="29">
        <v>44652</v>
      </c>
      <c r="H202" s="30">
        <v>44926</v>
      </c>
    </row>
    <row r="203" spans="1:8" x14ac:dyDescent="0.2">
      <c r="A203" s="32">
        <v>412018</v>
      </c>
      <c r="B203" s="27" t="s">
        <v>155</v>
      </c>
      <c r="C203" s="55">
        <v>367.37400000000002</v>
      </c>
      <c r="D203" s="55">
        <v>165.31830000000002</v>
      </c>
      <c r="E203" s="28" t="s">
        <v>8</v>
      </c>
      <c r="F203" s="55"/>
      <c r="G203" s="29">
        <v>44652</v>
      </c>
      <c r="H203" s="30">
        <v>44926</v>
      </c>
    </row>
    <row r="204" spans="1:8" x14ac:dyDescent="0.2">
      <c r="A204" s="32">
        <v>412019</v>
      </c>
      <c r="B204" s="27" t="s">
        <v>156</v>
      </c>
      <c r="C204" s="55">
        <v>310.71600000000001</v>
      </c>
      <c r="D204" s="55">
        <v>139.82220000000001</v>
      </c>
      <c r="E204" s="28" t="s">
        <v>8</v>
      </c>
      <c r="F204" s="55"/>
      <c r="G204" s="29">
        <v>44652</v>
      </c>
      <c r="H204" s="30">
        <v>44926</v>
      </c>
    </row>
    <row r="205" spans="1:8" x14ac:dyDescent="0.2">
      <c r="A205" s="32">
        <v>412020</v>
      </c>
      <c r="B205" s="27" t="s">
        <v>157</v>
      </c>
      <c r="C205" s="55">
        <v>366.50250000000005</v>
      </c>
      <c r="D205" s="55">
        <v>164.92612500000004</v>
      </c>
      <c r="E205" s="28" t="s">
        <v>8</v>
      </c>
      <c r="F205" s="55"/>
      <c r="G205" s="29">
        <v>44652</v>
      </c>
      <c r="H205" s="30">
        <v>44926</v>
      </c>
    </row>
    <row r="206" spans="1:8" x14ac:dyDescent="0.2">
      <c r="A206" s="32">
        <v>412025</v>
      </c>
      <c r="B206" s="27" t="s">
        <v>1199</v>
      </c>
      <c r="C206" s="55">
        <v>281.40000000000003</v>
      </c>
      <c r="D206" s="55">
        <v>126.63000000000002</v>
      </c>
      <c r="E206" s="28" t="s">
        <v>8</v>
      </c>
      <c r="F206" s="55"/>
      <c r="G206" s="29">
        <v>44652</v>
      </c>
      <c r="H206" s="30">
        <v>44926</v>
      </c>
    </row>
    <row r="207" spans="1:8" x14ac:dyDescent="0.2">
      <c r="A207" s="32">
        <v>412028</v>
      </c>
      <c r="B207" s="27" t="s">
        <v>1187</v>
      </c>
      <c r="C207" s="55">
        <v>348.6105</v>
      </c>
      <c r="D207" s="55">
        <v>156.87472500000001</v>
      </c>
      <c r="E207" s="28" t="s">
        <v>8</v>
      </c>
      <c r="F207" s="55"/>
      <c r="G207" s="29">
        <v>44652</v>
      </c>
      <c r="H207" s="30">
        <v>44926</v>
      </c>
    </row>
    <row r="208" spans="1:8" x14ac:dyDescent="0.2">
      <c r="A208" s="32">
        <v>412030</v>
      </c>
      <c r="B208" s="27" t="s">
        <v>1175</v>
      </c>
      <c r="C208" s="55">
        <v>283.75200000000001</v>
      </c>
      <c r="D208" s="55">
        <v>127.6884</v>
      </c>
      <c r="E208" s="28" t="s">
        <v>8</v>
      </c>
      <c r="F208" s="55"/>
      <c r="G208" s="29">
        <v>44652</v>
      </c>
      <c r="H208" s="30">
        <v>44926</v>
      </c>
    </row>
    <row r="209" spans="1:8" x14ac:dyDescent="0.2">
      <c r="A209" s="32">
        <v>412032</v>
      </c>
      <c r="B209" s="27" t="s">
        <v>1174</v>
      </c>
      <c r="C209" s="55">
        <v>284.14050000000003</v>
      </c>
      <c r="D209" s="55">
        <v>127.86322500000001</v>
      </c>
      <c r="E209" s="28" t="s">
        <v>8</v>
      </c>
      <c r="F209" s="55"/>
      <c r="G209" s="29">
        <v>44652</v>
      </c>
      <c r="H209" s="30">
        <v>44926</v>
      </c>
    </row>
    <row r="210" spans="1:8" x14ac:dyDescent="0.2">
      <c r="A210" s="32">
        <v>412047</v>
      </c>
      <c r="B210" s="27" t="s">
        <v>155</v>
      </c>
      <c r="C210" s="55">
        <v>380</v>
      </c>
      <c r="D210" s="55">
        <v>171</v>
      </c>
      <c r="E210" s="28" t="s">
        <v>8</v>
      </c>
      <c r="F210" s="55"/>
      <c r="G210" s="29">
        <v>44652</v>
      </c>
      <c r="H210" s="30">
        <v>44926</v>
      </c>
    </row>
    <row r="211" spans="1:8" x14ac:dyDescent="0.2">
      <c r="A211" s="32">
        <v>412048</v>
      </c>
      <c r="B211" s="27" t="s">
        <v>157</v>
      </c>
      <c r="C211" s="55">
        <v>380</v>
      </c>
      <c r="D211" s="55">
        <v>171</v>
      </c>
      <c r="E211" s="28" t="s">
        <v>8</v>
      </c>
      <c r="F211" s="55"/>
      <c r="G211" s="29">
        <v>44652</v>
      </c>
      <c r="H211" s="30">
        <v>44926</v>
      </c>
    </row>
    <row r="212" spans="1:8" x14ac:dyDescent="0.2">
      <c r="A212" s="32">
        <v>412059</v>
      </c>
      <c r="B212" s="27" t="s">
        <v>155</v>
      </c>
      <c r="C212" s="55">
        <v>440</v>
      </c>
      <c r="D212" s="55">
        <v>198</v>
      </c>
      <c r="E212" s="28" t="s">
        <v>8</v>
      </c>
      <c r="F212" s="55"/>
      <c r="G212" s="29">
        <v>44652</v>
      </c>
      <c r="H212" s="30">
        <v>44926</v>
      </c>
    </row>
    <row r="213" spans="1:8" x14ac:dyDescent="0.2">
      <c r="A213" s="32">
        <v>412060</v>
      </c>
      <c r="B213" s="27" t="s">
        <v>157</v>
      </c>
      <c r="C213" s="55">
        <v>440</v>
      </c>
      <c r="D213" s="55">
        <v>198</v>
      </c>
      <c r="E213" s="28" t="s">
        <v>8</v>
      </c>
      <c r="F213" s="55"/>
      <c r="G213" s="29">
        <v>44652</v>
      </c>
      <c r="H213" s="30">
        <v>44926</v>
      </c>
    </row>
    <row r="214" spans="1:8" x14ac:dyDescent="0.2">
      <c r="A214" s="32">
        <v>412069</v>
      </c>
      <c r="B214" s="27" t="s">
        <v>1198</v>
      </c>
      <c r="C214" s="55">
        <v>345.15600000000006</v>
      </c>
      <c r="D214" s="55">
        <v>155.32020000000003</v>
      </c>
      <c r="E214" s="28" t="s">
        <v>8</v>
      </c>
      <c r="F214" s="55"/>
      <c r="G214" s="29">
        <v>44652</v>
      </c>
      <c r="H214" s="30">
        <v>44926</v>
      </c>
    </row>
    <row r="215" spans="1:8" x14ac:dyDescent="0.2">
      <c r="A215" s="32">
        <v>412070</v>
      </c>
      <c r="B215" s="27" t="s">
        <v>1195</v>
      </c>
      <c r="C215" s="55">
        <v>345.55500000000006</v>
      </c>
      <c r="D215" s="55">
        <v>155.49975000000003</v>
      </c>
      <c r="E215" s="28" t="s">
        <v>8</v>
      </c>
      <c r="F215" s="55"/>
      <c r="G215" s="29">
        <v>44652</v>
      </c>
      <c r="H215" s="30">
        <v>44926</v>
      </c>
    </row>
    <row r="216" spans="1:8" x14ac:dyDescent="0.2">
      <c r="A216" s="32">
        <v>413018</v>
      </c>
      <c r="B216" s="27" t="s">
        <v>158</v>
      </c>
      <c r="C216" s="55">
        <v>363.2475</v>
      </c>
      <c r="D216" s="55">
        <v>163.461375</v>
      </c>
      <c r="E216" s="28" t="s">
        <v>8</v>
      </c>
      <c r="F216" s="55"/>
      <c r="G216" s="29">
        <v>44652</v>
      </c>
      <c r="H216" s="30">
        <v>44926</v>
      </c>
    </row>
    <row r="217" spans="1:8" x14ac:dyDescent="0.2">
      <c r="A217" s="32">
        <v>413020</v>
      </c>
      <c r="B217" s="27" t="s">
        <v>159</v>
      </c>
      <c r="C217" s="55">
        <v>362.38650000000001</v>
      </c>
      <c r="D217" s="55">
        <v>163.073925</v>
      </c>
      <c r="E217" s="28" t="s">
        <v>8</v>
      </c>
      <c r="F217" s="55"/>
      <c r="G217" s="29">
        <v>44652</v>
      </c>
      <c r="H217" s="30">
        <v>44926</v>
      </c>
    </row>
    <row r="218" spans="1:8" x14ac:dyDescent="0.2">
      <c r="A218" s="32">
        <v>413032</v>
      </c>
      <c r="B218" s="27" t="s">
        <v>1131</v>
      </c>
      <c r="C218" s="55">
        <v>259.50749999999999</v>
      </c>
      <c r="D218" s="55">
        <v>116.778375</v>
      </c>
      <c r="E218" s="28" t="s">
        <v>8</v>
      </c>
      <c r="F218" s="55"/>
      <c r="G218" s="29">
        <v>44652</v>
      </c>
      <c r="H218" s="30">
        <v>44926</v>
      </c>
    </row>
    <row r="219" spans="1:8" x14ac:dyDescent="0.2">
      <c r="A219" s="32">
        <v>413039</v>
      </c>
      <c r="B219" s="27" t="s">
        <v>1130</v>
      </c>
      <c r="C219" s="55">
        <v>279.45</v>
      </c>
      <c r="D219" s="55">
        <v>125.7525</v>
      </c>
      <c r="E219" s="28" t="s">
        <v>8</v>
      </c>
      <c r="F219" s="55"/>
      <c r="G219" s="29">
        <v>44652</v>
      </c>
      <c r="H219" s="30">
        <v>44926</v>
      </c>
    </row>
    <row r="220" spans="1:8" x14ac:dyDescent="0.2">
      <c r="A220" s="32">
        <v>413040</v>
      </c>
      <c r="B220" s="27" t="s">
        <v>1131</v>
      </c>
      <c r="C220" s="55">
        <v>309.45999999999998</v>
      </c>
      <c r="D220" s="55">
        <v>139.25700000000001</v>
      </c>
      <c r="E220" s="28" t="s">
        <v>8</v>
      </c>
      <c r="F220" s="55"/>
      <c r="G220" s="29">
        <v>44652</v>
      </c>
      <c r="H220" s="30">
        <v>44926</v>
      </c>
    </row>
    <row r="221" spans="1:8" x14ac:dyDescent="0.2">
      <c r="A221" s="32">
        <v>430002</v>
      </c>
      <c r="B221" s="27" t="s">
        <v>1141</v>
      </c>
      <c r="C221" s="55">
        <v>265</v>
      </c>
      <c r="D221" s="55">
        <v>119.25</v>
      </c>
      <c r="E221" s="28" t="s">
        <v>8</v>
      </c>
      <c r="F221" s="55"/>
      <c r="G221" s="29">
        <v>44652</v>
      </c>
      <c r="H221" s="30">
        <v>44926</v>
      </c>
    </row>
    <row r="222" spans="1:8" x14ac:dyDescent="0.2">
      <c r="A222" s="32">
        <v>430004</v>
      </c>
      <c r="B222" s="27" t="s">
        <v>1142</v>
      </c>
      <c r="C222" s="55">
        <v>263</v>
      </c>
      <c r="D222" s="55">
        <v>118.35000000000001</v>
      </c>
      <c r="E222" s="28" t="s">
        <v>8</v>
      </c>
      <c r="F222" s="55"/>
      <c r="G222" s="29">
        <v>44652</v>
      </c>
      <c r="H222" s="30">
        <v>44926</v>
      </c>
    </row>
    <row r="223" spans="1:8" x14ac:dyDescent="0.2">
      <c r="A223" s="32">
        <v>430019</v>
      </c>
      <c r="B223" s="27" t="s">
        <v>1143</v>
      </c>
      <c r="C223" s="55">
        <v>243</v>
      </c>
      <c r="D223" s="55">
        <v>109.35000000000001</v>
      </c>
      <c r="E223" s="28" t="s">
        <v>8</v>
      </c>
      <c r="F223" s="55"/>
      <c r="G223" s="29">
        <v>44652</v>
      </c>
      <c r="H223" s="30">
        <v>44926</v>
      </c>
    </row>
    <row r="224" spans="1:8" x14ac:dyDescent="0.2">
      <c r="A224" s="32">
        <v>430043</v>
      </c>
      <c r="B224" s="27" t="s">
        <v>1124</v>
      </c>
      <c r="C224" s="55">
        <v>188</v>
      </c>
      <c r="D224" s="55">
        <v>84.600000000000009</v>
      </c>
      <c r="E224" s="28" t="s">
        <v>8</v>
      </c>
      <c r="F224" s="55"/>
      <c r="G224" s="29">
        <v>44652</v>
      </c>
      <c r="H224" s="30">
        <v>44926</v>
      </c>
    </row>
    <row r="225" spans="1:8" x14ac:dyDescent="0.2">
      <c r="A225" s="32">
        <v>430071</v>
      </c>
      <c r="B225" s="27" t="s">
        <v>1146</v>
      </c>
      <c r="C225" s="55">
        <v>140</v>
      </c>
      <c r="D225" s="55">
        <v>63</v>
      </c>
      <c r="E225" s="28" t="s">
        <v>8</v>
      </c>
      <c r="F225" s="55"/>
      <c r="G225" s="29">
        <v>44652</v>
      </c>
      <c r="H225" s="30">
        <v>44926</v>
      </c>
    </row>
    <row r="226" spans="1:8" x14ac:dyDescent="0.2">
      <c r="A226" s="32">
        <v>430072</v>
      </c>
      <c r="B226" s="27" t="s">
        <v>1147</v>
      </c>
      <c r="C226" s="55">
        <v>140</v>
      </c>
      <c r="D226" s="55">
        <v>63</v>
      </c>
      <c r="E226" s="28" t="s">
        <v>8</v>
      </c>
      <c r="F226" s="55"/>
      <c r="G226" s="29">
        <v>44652</v>
      </c>
      <c r="H226" s="30">
        <v>44926</v>
      </c>
    </row>
    <row r="227" spans="1:8" x14ac:dyDescent="0.2">
      <c r="A227" s="32">
        <v>432015</v>
      </c>
      <c r="B227" s="27" t="s">
        <v>1150</v>
      </c>
      <c r="C227" s="55">
        <v>345</v>
      </c>
      <c r="D227" s="55">
        <v>155.25</v>
      </c>
      <c r="E227" s="28" t="s">
        <v>8</v>
      </c>
      <c r="F227" s="55"/>
      <c r="G227" s="29">
        <v>44652</v>
      </c>
      <c r="H227" s="30">
        <v>44926</v>
      </c>
    </row>
    <row r="228" spans="1:8" x14ac:dyDescent="0.2">
      <c r="A228" s="32">
        <v>432016</v>
      </c>
      <c r="B228" s="27" t="s">
        <v>160</v>
      </c>
      <c r="C228" s="55">
        <v>392</v>
      </c>
      <c r="D228" s="55">
        <v>176.4</v>
      </c>
      <c r="E228" s="28" t="s">
        <v>8</v>
      </c>
      <c r="F228" s="55"/>
      <c r="G228" s="29">
        <v>44652</v>
      </c>
      <c r="H228" s="30">
        <v>44926</v>
      </c>
    </row>
    <row r="229" spans="1:8" x14ac:dyDescent="0.2">
      <c r="A229" s="32">
        <v>432017</v>
      </c>
      <c r="B229" s="27" t="s">
        <v>1151</v>
      </c>
      <c r="C229" s="55">
        <v>345</v>
      </c>
      <c r="D229" s="55">
        <v>155.25</v>
      </c>
      <c r="E229" s="28" t="s">
        <v>8</v>
      </c>
      <c r="F229" s="55"/>
      <c r="G229" s="29">
        <v>44652</v>
      </c>
      <c r="H229" s="30">
        <v>44926</v>
      </c>
    </row>
    <row r="230" spans="1:8" x14ac:dyDescent="0.2">
      <c r="A230" s="32">
        <v>432018</v>
      </c>
      <c r="B230" s="27" t="s">
        <v>161</v>
      </c>
      <c r="C230" s="55">
        <v>392</v>
      </c>
      <c r="D230" s="55">
        <v>176.4</v>
      </c>
      <c r="E230" s="28" t="s">
        <v>8</v>
      </c>
      <c r="F230" s="55"/>
      <c r="G230" s="29">
        <v>44652</v>
      </c>
      <c r="H230" s="30">
        <v>44926</v>
      </c>
    </row>
    <row r="231" spans="1:8" x14ac:dyDescent="0.2">
      <c r="A231" s="32">
        <v>432022</v>
      </c>
      <c r="B231" s="27" t="s">
        <v>161</v>
      </c>
      <c r="C231" s="55">
        <v>465</v>
      </c>
      <c r="D231" s="55">
        <v>209.25</v>
      </c>
      <c r="E231" s="28" t="s">
        <v>8</v>
      </c>
      <c r="F231" s="55"/>
      <c r="G231" s="29">
        <v>44652</v>
      </c>
      <c r="H231" s="30">
        <v>44926</v>
      </c>
    </row>
    <row r="232" spans="1:8" x14ac:dyDescent="0.2">
      <c r="A232" s="32">
        <v>432025</v>
      </c>
      <c r="B232" s="27" t="s">
        <v>1133</v>
      </c>
      <c r="C232" s="55">
        <v>365</v>
      </c>
      <c r="D232" s="55">
        <v>164.25</v>
      </c>
      <c r="E232" s="28" t="s">
        <v>8</v>
      </c>
      <c r="F232" s="55"/>
      <c r="G232" s="29">
        <v>44652</v>
      </c>
      <c r="H232" s="30">
        <v>44926</v>
      </c>
    </row>
    <row r="233" spans="1:8" x14ac:dyDescent="0.2">
      <c r="A233" s="32">
        <v>432027</v>
      </c>
      <c r="B233" s="27" t="s">
        <v>1132</v>
      </c>
      <c r="C233" s="55">
        <v>285</v>
      </c>
      <c r="D233" s="55">
        <v>128.25</v>
      </c>
      <c r="E233" s="28" t="s">
        <v>8</v>
      </c>
      <c r="F233" s="55"/>
      <c r="G233" s="29">
        <v>44652</v>
      </c>
      <c r="H233" s="30">
        <v>44926</v>
      </c>
    </row>
    <row r="234" spans="1:8" x14ac:dyDescent="0.2">
      <c r="A234" s="32">
        <v>432073</v>
      </c>
      <c r="B234" s="27" t="s">
        <v>1136</v>
      </c>
      <c r="C234" s="55">
        <v>335</v>
      </c>
      <c r="D234" s="55">
        <v>150.75</v>
      </c>
      <c r="E234" s="28" t="s">
        <v>8</v>
      </c>
      <c r="F234" s="55"/>
      <c r="G234" s="29">
        <v>44652</v>
      </c>
      <c r="H234" s="30">
        <v>44926</v>
      </c>
    </row>
    <row r="235" spans="1:8" x14ac:dyDescent="0.2">
      <c r="A235" s="32">
        <v>432074</v>
      </c>
      <c r="B235" s="27" t="s">
        <v>1137</v>
      </c>
      <c r="C235" s="55">
        <v>335</v>
      </c>
      <c r="D235" s="55">
        <v>150.75</v>
      </c>
      <c r="E235" s="28" t="s">
        <v>8</v>
      </c>
      <c r="F235" s="55"/>
      <c r="G235" s="29">
        <v>44652</v>
      </c>
      <c r="H235" s="30">
        <v>44926</v>
      </c>
    </row>
    <row r="236" spans="1:8" x14ac:dyDescent="0.2">
      <c r="A236" s="32">
        <v>435005</v>
      </c>
      <c r="B236" s="27" t="s">
        <v>1129</v>
      </c>
      <c r="C236" s="55">
        <v>509</v>
      </c>
      <c r="D236" s="55">
        <v>229.05</v>
      </c>
      <c r="E236" s="28" t="s">
        <v>8</v>
      </c>
      <c r="F236" s="55"/>
      <c r="G236" s="29">
        <v>44652</v>
      </c>
      <c r="H236" s="30">
        <v>44926</v>
      </c>
    </row>
    <row r="237" spans="1:8" x14ac:dyDescent="0.2">
      <c r="A237" s="32">
        <v>435006</v>
      </c>
      <c r="B237" s="27" t="s">
        <v>1128</v>
      </c>
      <c r="C237" s="55">
        <v>509.68</v>
      </c>
      <c r="D237" s="55">
        <v>229.35599999999999</v>
      </c>
      <c r="E237" s="28" t="s">
        <v>8</v>
      </c>
      <c r="F237" s="55"/>
      <c r="G237" s="29">
        <v>44652</v>
      </c>
      <c r="H237" s="30">
        <v>44926</v>
      </c>
    </row>
    <row r="238" spans="1:8" x14ac:dyDescent="0.2">
      <c r="A238" s="32">
        <v>435009</v>
      </c>
      <c r="B238" s="27" t="s">
        <v>1160</v>
      </c>
      <c r="C238" s="55">
        <v>862.23900000000003</v>
      </c>
      <c r="D238" s="55">
        <v>388.00755000000004</v>
      </c>
      <c r="E238" s="28" t="s">
        <v>8</v>
      </c>
      <c r="F238" s="55"/>
      <c r="G238" s="29">
        <v>44652</v>
      </c>
      <c r="H238" s="30">
        <v>44926</v>
      </c>
    </row>
    <row r="239" spans="1:8" x14ac:dyDescent="0.2">
      <c r="A239" s="32">
        <v>435010</v>
      </c>
      <c r="B239" s="27" t="s">
        <v>1159</v>
      </c>
      <c r="C239" s="55">
        <v>859.39350000000002</v>
      </c>
      <c r="D239" s="55">
        <v>386.72707500000001</v>
      </c>
      <c r="E239" s="28" t="s">
        <v>8</v>
      </c>
      <c r="F239" s="55"/>
      <c r="G239" s="29">
        <v>44652</v>
      </c>
      <c r="H239" s="30">
        <v>44926</v>
      </c>
    </row>
    <row r="240" spans="1:8" x14ac:dyDescent="0.2">
      <c r="A240" s="32">
        <v>450028</v>
      </c>
      <c r="B240" s="27" t="s">
        <v>162</v>
      </c>
      <c r="C240" s="55">
        <v>36.42</v>
      </c>
      <c r="D240" s="55">
        <v>16.389000000000003</v>
      </c>
      <c r="E240" s="28" t="s">
        <v>954</v>
      </c>
      <c r="F240" s="55">
        <v>15.241770000000004</v>
      </c>
      <c r="G240" s="29">
        <v>44652</v>
      </c>
      <c r="H240" s="30">
        <v>44926</v>
      </c>
    </row>
    <row r="241" spans="1:8" x14ac:dyDescent="0.2">
      <c r="A241" s="32">
        <v>450029</v>
      </c>
      <c r="B241" s="27" t="s">
        <v>1030</v>
      </c>
      <c r="C241" s="55">
        <v>38.130000000000003</v>
      </c>
      <c r="D241" s="55">
        <v>17.1585</v>
      </c>
      <c r="E241" s="28" t="s">
        <v>954</v>
      </c>
      <c r="F241" s="55">
        <v>15.957405000000001</v>
      </c>
      <c r="G241" s="29">
        <v>44652</v>
      </c>
      <c r="H241" s="30">
        <v>44926</v>
      </c>
    </row>
    <row r="242" spans="1:8" x14ac:dyDescent="0.2">
      <c r="A242" s="32">
        <v>450030</v>
      </c>
      <c r="B242" s="27" t="s">
        <v>163</v>
      </c>
      <c r="C242" s="55">
        <v>42.51</v>
      </c>
      <c r="D242" s="55">
        <v>19.1295</v>
      </c>
      <c r="E242" s="28" t="s">
        <v>954</v>
      </c>
      <c r="F242" s="55">
        <v>17.790435000000002</v>
      </c>
      <c r="G242" s="29">
        <v>44652</v>
      </c>
      <c r="H242" s="30">
        <v>44926</v>
      </c>
    </row>
    <row r="243" spans="1:8" x14ac:dyDescent="0.2">
      <c r="A243" s="32">
        <v>450032</v>
      </c>
      <c r="B243" s="27" t="s">
        <v>164</v>
      </c>
      <c r="C243" s="55">
        <v>31.73</v>
      </c>
      <c r="D243" s="55">
        <v>14.278500000000001</v>
      </c>
      <c r="E243" s="28" t="s">
        <v>954</v>
      </c>
      <c r="F243" s="55">
        <v>13.279005000000002</v>
      </c>
      <c r="G243" s="29">
        <v>44652</v>
      </c>
      <c r="H243" s="30">
        <v>44926</v>
      </c>
    </row>
    <row r="244" spans="1:8" x14ac:dyDescent="0.2">
      <c r="A244" s="32">
        <v>450033</v>
      </c>
      <c r="B244" s="27" t="s">
        <v>165</v>
      </c>
      <c r="C244" s="55">
        <v>43.13</v>
      </c>
      <c r="D244" s="55">
        <v>19.4085</v>
      </c>
      <c r="E244" s="28" t="s">
        <v>954</v>
      </c>
      <c r="F244" s="55">
        <v>18.049905000000003</v>
      </c>
      <c r="G244" s="29">
        <v>44652</v>
      </c>
      <c r="H244" s="30">
        <v>44926</v>
      </c>
    </row>
    <row r="245" spans="1:8" x14ac:dyDescent="0.2">
      <c r="A245" s="32">
        <v>450034</v>
      </c>
      <c r="B245" s="27" t="s">
        <v>166</v>
      </c>
      <c r="C245" s="55">
        <v>20.63</v>
      </c>
      <c r="D245" s="55">
        <v>9.2835000000000001</v>
      </c>
      <c r="E245" s="28" t="s">
        <v>954</v>
      </c>
      <c r="F245" s="55">
        <v>8.633655000000001</v>
      </c>
      <c r="G245" s="29">
        <v>44652</v>
      </c>
      <c r="H245" s="30">
        <v>44926</v>
      </c>
    </row>
    <row r="246" spans="1:8" x14ac:dyDescent="0.2">
      <c r="A246" s="32">
        <v>450037</v>
      </c>
      <c r="B246" s="27" t="s">
        <v>1079</v>
      </c>
      <c r="C246" s="55">
        <v>208.24650000000003</v>
      </c>
      <c r="D246" s="55">
        <v>93.710925000000017</v>
      </c>
      <c r="E246" s="28" t="s">
        <v>8</v>
      </c>
      <c r="F246" s="55"/>
      <c r="G246" s="29">
        <v>44652</v>
      </c>
      <c r="H246" s="30">
        <v>44926</v>
      </c>
    </row>
    <row r="247" spans="1:8" x14ac:dyDescent="0.2">
      <c r="A247" s="32">
        <v>450042</v>
      </c>
      <c r="B247" s="27" t="s">
        <v>167</v>
      </c>
      <c r="C247" s="55">
        <v>58.98</v>
      </c>
      <c r="D247" s="55">
        <v>26.541</v>
      </c>
      <c r="E247" s="28" t="s">
        <v>954</v>
      </c>
      <c r="F247" s="55">
        <v>24.683130000000002</v>
      </c>
      <c r="G247" s="29">
        <v>44652</v>
      </c>
      <c r="H247" s="30">
        <v>44926</v>
      </c>
    </row>
    <row r="248" spans="1:8" x14ac:dyDescent="0.2">
      <c r="A248" s="32">
        <v>450043</v>
      </c>
      <c r="B248" s="27" t="s">
        <v>1026</v>
      </c>
      <c r="C248" s="55">
        <v>64.02</v>
      </c>
      <c r="D248" s="55">
        <v>28.808999999999997</v>
      </c>
      <c r="E248" s="28" t="s">
        <v>954</v>
      </c>
      <c r="F248" s="55">
        <v>26.792369999999998</v>
      </c>
      <c r="G248" s="29">
        <v>44652</v>
      </c>
      <c r="H248" s="30">
        <v>44926</v>
      </c>
    </row>
    <row r="249" spans="1:8" x14ac:dyDescent="0.2">
      <c r="A249" s="32">
        <v>450044</v>
      </c>
      <c r="B249" s="27" t="s">
        <v>1025</v>
      </c>
      <c r="C249" s="55">
        <v>34.56</v>
      </c>
      <c r="D249" s="55">
        <v>15.552000000000001</v>
      </c>
      <c r="E249" s="28" t="s">
        <v>954</v>
      </c>
      <c r="F249" s="55">
        <v>14.463360000000002</v>
      </c>
      <c r="G249" s="29">
        <v>44652</v>
      </c>
      <c r="H249" s="30">
        <v>44926</v>
      </c>
    </row>
    <row r="250" spans="1:8" x14ac:dyDescent="0.2">
      <c r="A250" s="32">
        <v>450045</v>
      </c>
      <c r="B250" s="27" t="s">
        <v>168</v>
      </c>
      <c r="C250" s="55">
        <v>68.25</v>
      </c>
      <c r="D250" s="55">
        <v>30.712500000000002</v>
      </c>
      <c r="E250" s="28" t="s">
        <v>954</v>
      </c>
      <c r="F250" s="55">
        <v>28.562625000000004</v>
      </c>
      <c r="G250" s="29">
        <v>44652</v>
      </c>
      <c r="H250" s="30">
        <v>44926</v>
      </c>
    </row>
    <row r="251" spans="1:8" x14ac:dyDescent="0.2">
      <c r="A251" s="32">
        <v>450047</v>
      </c>
      <c r="B251" s="27" t="s">
        <v>1028</v>
      </c>
      <c r="C251" s="55">
        <v>54.23</v>
      </c>
      <c r="D251" s="55">
        <v>24.403499999999998</v>
      </c>
      <c r="E251" s="28" t="s">
        <v>954</v>
      </c>
      <c r="F251" s="55">
        <v>22.695255</v>
      </c>
      <c r="G251" s="29">
        <v>44652</v>
      </c>
      <c r="H251" s="30">
        <v>44926</v>
      </c>
    </row>
    <row r="252" spans="1:8" x14ac:dyDescent="0.2">
      <c r="A252" s="32">
        <v>450052</v>
      </c>
      <c r="B252" s="27" t="s">
        <v>1023</v>
      </c>
      <c r="C252" s="55">
        <v>40.614000000000004</v>
      </c>
      <c r="D252" s="55">
        <v>18.276300000000003</v>
      </c>
      <c r="E252" s="28"/>
      <c r="F252" s="55">
        <v>16.996959000000004</v>
      </c>
      <c r="G252" s="29">
        <v>44652</v>
      </c>
      <c r="H252" s="30">
        <v>44926</v>
      </c>
    </row>
    <row r="253" spans="1:8" x14ac:dyDescent="0.2">
      <c r="A253" s="32">
        <v>450053</v>
      </c>
      <c r="B253" s="27" t="s">
        <v>1034</v>
      </c>
      <c r="C253" s="55">
        <v>40.614000000000004</v>
      </c>
      <c r="D253" s="55">
        <v>18.276300000000003</v>
      </c>
      <c r="E253" s="28" t="s">
        <v>954</v>
      </c>
      <c r="F253" s="55">
        <v>16.996959000000004</v>
      </c>
      <c r="G253" s="29">
        <v>44652</v>
      </c>
      <c r="H253" s="30">
        <v>44926</v>
      </c>
    </row>
    <row r="254" spans="1:8" x14ac:dyDescent="0.2">
      <c r="A254" s="32">
        <v>450055</v>
      </c>
      <c r="B254" s="27" t="s">
        <v>1031</v>
      </c>
      <c r="C254" s="55">
        <v>43.07</v>
      </c>
      <c r="D254" s="55">
        <v>19.381499999999999</v>
      </c>
      <c r="E254" s="28" t="s">
        <v>954</v>
      </c>
      <c r="F254" s="55">
        <v>18.024795000000001</v>
      </c>
      <c r="G254" s="29">
        <v>44652</v>
      </c>
      <c r="H254" s="30">
        <v>44926</v>
      </c>
    </row>
    <row r="255" spans="1:8" x14ac:dyDescent="0.2">
      <c r="A255" s="32">
        <v>450057</v>
      </c>
      <c r="B255" s="27" t="s">
        <v>169</v>
      </c>
      <c r="C255" s="55">
        <v>42.26</v>
      </c>
      <c r="D255" s="55">
        <v>19.016999999999999</v>
      </c>
      <c r="E255" s="28" t="s">
        <v>954</v>
      </c>
      <c r="F255" s="55">
        <v>17.68581</v>
      </c>
      <c r="G255" s="29">
        <v>44652</v>
      </c>
      <c r="H255" s="30">
        <v>44926</v>
      </c>
    </row>
    <row r="256" spans="1:8" x14ac:dyDescent="0.2">
      <c r="A256" s="32">
        <v>450061</v>
      </c>
      <c r="B256" s="27" t="s">
        <v>170</v>
      </c>
      <c r="C256" s="55">
        <v>71.319999999999993</v>
      </c>
      <c r="D256" s="55">
        <v>32.094000000000001</v>
      </c>
      <c r="E256" s="28" t="s">
        <v>954</v>
      </c>
      <c r="F256" s="55">
        <v>29.847420000000003</v>
      </c>
      <c r="G256" s="29">
        <v>44652</v>
      </c>
      <c r="H256" s="30">
        <v>44926</v>
      </c>
    </row>
    <row r="257" spans="1:8" x14ac:dyDescent="0.2">
      <c r="A257" s="32">
        <v>450063</v>
      </c>
      <c r="B257" s="27" t="s">
        <v>1033</v>
      </c>
      <c r="C257" s="55">
        <v>58</v>
      </c>
      <c r="D257" s="55">
        <v>26.1</v>
      </c>
      <c r="E257" s="28" t="s">
        <v>954</v>
      </c>
      <c r="F257" s="55">
        <v>24.273000000000003</v>
      </c>
      <c r="G257" s="29">
        <v>44652</v>
      </c>
      <c r="H257" s="30">
        <v>44926</v>
      </c>
    </row>
    <row r="258" spans="1:8" x14ac:dyDescent="0.2">
      <c r="A258" s="32">
        <v>450067</v>
      </c>
      <c r="B258" s="27" t="s">
        <v>1029</v>
      </c>
      <c r="C258" s="55">
        <v>61.22</v>
      </c>
      <c r="D258" s="55">
        <v>27.548999999999999</v>
      </c>
      <c r="E258" s="28" t="s">
        <v>954</v>
      </c>
      <c r="F258" s="55">
        <v>25.620570000000001</v>
      </c>
      <c r="G258" s="29">
        <v>44652</v>
      </c>
      <c r="H258" s="30">
        <v>44926</v>
      </c>
    </row>
    <row r="259" spans="1:8" x14ac:dyDescent="0.2">
      <c r="A259" s="32">
        <v>450081</v>
      </c>
      <c r="B259" s="27" t="s">
        <v>1024</v>
      </c>
      <c r="C259" s="55">
        <v>75.48</v>
      </c>
      <c r="D259" s="55">
        <v>33.966000000000001</v>
      </c>
      <c r="E259" s="28" t="s">
        <v>8</v>
      </c>
      <c r="F259" s="55"/>
      <c r="G259" s="29">
        <v>44652</v>
      </c>
      <c r="H259" s="30">
        <v>44926</v>
      </c>
    </row>
    <row r="260" spans="1:8" x14ac:dyDescent="0.2">
      <c r="A260" s="32">
        <v>450095</v>
      </c>
      <c r="B260" s="27" t="s">
        <v>1021</v>
      </c>
      <c r="C260" s="55">
        <v>33.69</v>
      </c>
      <c r="D260" s="55">
        <v>15.160499999999999</v>
      </c>
      <c r="E260" s="28" t="s">
        <v>954</v>
      </c>
      <c r="F260" s="55">
        <v>14.099264999999999</v>
      </c>
      <c r="G260" s="29">
        <v>44652</v>
      </c>
      <c r="H260" s="30">
        <v>44926</v>
      </c>
    </row>
    <row r="261" spans="1:8" x14ac:dyDescent="0.2">
      <c r="A261" s="32">
        <v>450099</v>
      </c>
      <c r="B261" s="27" t="s">
        <v>117</v>
      </c>
      <c r="C261" s="55">
        <v>48.36</v>
      </c>
      <c r="D261" s="55">
        <v>21.762</v>
      </c>
      <c r="E261" s="28" t="s">
        <v>954</v>
      </c>
      <c r="F261" s="55">
        <v>20.238660000000003</v>
      </c>
      <c r="G261" s="29">
        <v>44652</v>
      </c>
      <c r="H261" s="30">
        <v>44926</v>
      </c>
    </row>
    <row r="262" spans="1:8" x14ac:dyDescent="0.2">
      <c r="A262" s="32">
        <v>450102</v>
      </c>
      <c r="B262" s="27" t="s">
        <v>1032</v>
      </c>
      <c r="C262" s="55">
        <v>47</v>
      </c>
      <c r="D262" s="55">
        <v>21.150000000000002</v>
      </c>
      <c r="E262" s="28" t="s">
        <v>954</v>
      </c>
      <c r="F262" s="55">
        <v>19.669500000000003</v>
      </c>
      <c r="G262" s="29">
        <v>44652</v>
      </c>
      <c r="H262" s="30">
        <v>44926</v>
      </c>
    </row>
    <row r="263" spans="1:8" x14ac:dyDescent="0.2">
      <c r="A263" s="32">
        <v>450167</v>
      </c>
      <c r="B263" s="27" t="s">
        <v>1027</v>
      </c>
      <c r="C263" s="55">
        <v>64.64</v>
      </c>
      <c r="D263" s="55">
        <v>29.088000000000001</v>
      </c>
      <c r="E263" s="28" t="s">
        <v>954</v>
      </c>
      <c r="F263" s="55">
        <v>27.051840000000002</v>
      </c>
      <c r="G263" s="29">
        <v>44652</v>
      </c>
      <c r="H263" s="30">
        <v>44926</v>
      </c>
    </row>
    <row r="264" spans="1:8" x14ac:dyDescent="0.2">
      <c r="A264" s="32">
        <v>450533</v>
      </c>
      <c r="B264" s="27" t="s">
        <v>119</v>
      </c>
      <c r="C264" s="55">
        <v>237</v>
      </c>
      <c r="D264" s="55">
        <v>106.65</v>
      </c>
      <c r="E264" s="28" t="s">
        <v>8</v>
      </c>
      <c r="F264" s="55"/>
      <c r="G264" s="29">
        <v>44652</v>
      </c>
      <c r="H264" s="30">
        <v>44926</v>
      </c>
    </row>
    <row r="265" spans="1:8" x14ac:dyDescent="0.2">
      <c r="A265" s="32">
        <v>452025</v>
      </c>
      <c r="B265" s="27" t="s">
        <v>171</v>
      </c>
      <c r="C265" s="55">
        <v>114.5865</v>
      </c>
      <c r="D265" s="55">
        <v>51.563925000000005</v>
      </c>
      <c r="E265" s="28" t="s">
        <v>954</v>
      </c>
      <c r="F265" s="55">
        <v>47.954450250000008</v>
      </c>
      <c r="G265" s="29">
        <v>44652</v>
      </c>
      <c r="H265" s="30">
        <v>44926</v>
      </c>
    </row>
    <row r="266" spans="1:8" x14ac:dyDescent="0.2">
      <c r="A266" s="32">
        <v>452028</v>
      </c>
      <c r="B266" s="27" t="s">
        <v>172</v>
      </c>
      <c r="C266" s="55">
        <v>84.703500000000005</v>
      </c>
      <c r="D266" s="55">
        <v>38.116575000000005</v>
      </c>
      <c r="E266" s="28" t="s">
        <v>954</v>
      </c>
      <c r="F266" s="55">
        <v>35.448414750000005</v>
      </c>
      <c r="G266" s="29">
        <v>44652</v>
      </c>
      <c r="H266" s="30">
        <v>44926</v>
      </c>
    </row>
    <row r="267" spans="1:8" x14ac:dyDescent="0.2">
      <c r="A267" s="32">
        <v>452029</v>
      </c>
      <c r="B267" s="27" t="s">
        <v>173</v>
      </c>
      <c r="C267" s="55">
        <v>91.25</v>
      </c>
      <c r="D267" s="55">
        <v>41.0625</v>
      </c>
      <c r="E267" s="28" t="s">
        <v>954</v>
      </c>
      <c r="F267" s="55">
        <v>38.188124999999999</v>
      </c>
      <c r="G267" s="29">
        <v>44652</v>
      </c>
      <c r="H267" s="30">
        <v>44926</v>
      </c>
    </row>
    <row r="268" spans="1:8" x14ac:dyDescent="0.2">
      <c r="A268" s="32">
        <v>452032</v>
      </c>
      <c r="B268" s="27" t="s">
        <v>174</v>
      </c>
      <c r="C268" s="55">
        <v>131.4075</v>
      </c>
      <c r="D268" s="55">
        <v>59.133375000000001</v>
      </c>
      <c r="E268" s="28" t="s">
        <v>954</v>
      </c>
      <c r="F268" s="55">
        <v>54.994038750000001</v>
      </c>
      <c r="G268" s="29">
        <v>44652</v>
      </c>
      <c r="H268" s="30">
        <v>44926</v>
      </c>
    </row>
    <row r="269" spans="1:8" x14ac:dyDescent="0.2">
      <c r="A269" s="32">
        <v>452042</v>
      </c>
      <c r="B269" s="27" t="s">
        <v>175</v>
      </c>
      <c r="C269" s="55">
        <v>107.8</v>
      </c>
      <c r="D269" s="55">
        <v>48.51</v>
      </c>
      <c r="E269" s="28" t="s">
        <v>954</v>
      </c>
      <c r="F269" s="55">
        <v>45.1143</v>
      </c>
      <c r="G269" s="29">
        <v>44652</v>
      </c>
      <c r="H269" s="30">
        <v>44926</v>
      </c>
    </row>
    <row r="270" spans="1:8" x14ac:dyDescent="0.2">
      <c r="A270" s="32">
        <v>452045</v>
      </c>
      <c r="B270" s="27" t="s">
        <v>176</v>
      </c>
      <c r="C270" s="55">
        <v>118.5</v>
      </c>
      <c r="D270" s="55">
        <v>53.325000000000003</v>
      </c>
      <c r="E270" s="28" t="s">
        <v>954</v>
      </c>
      <c r="F270" s="55">
        <v>49.592250000000007</v>
      </c>
      <c r="G270" s="29">
        <v>44652</v>
      </c>
      <c r="H270" s="30">
        <v>44926</v>
      </c>
    </row>
    <row r="271" spans="1:8" x14ac:dyDescent="0.2">
      <c r="A271" s="32">
        <v>452047</v>
      </c>
      <c r="B271" s="27" t="s">
        <v>1331</v>
      </c>
      <c r="C271" s="55">
        <v>107.5</v>
      </c>
      <c r="D271" s="55">
        <v>48.375</v>
      </c>
      <c r="E271" s="28" t="s">
        <v>954</v>
      </c>
      <c r="F271" s="55">
        <v>44.988750000000003</v>
      </c>
      <c r="G271" s="29">
        <v>44652</v>
      </c>
      <c r="H271" s="30">
        <v>44926</v>
      </c>
    </row>
    <row r="272" spans="1:8" x14ac:dyDescent="0.2">
      <c r="A272" s="32">
        <v>452054</v>
      </c>
      <c r="B272" s="27" t="s">
        <v>177</v>
      </c>
      <c r="C272" s="55">
        <v>96.201000000000008</v>
      </c>
      <c r="D272" s="55">
        <v>43.290450000000007</v>
      </c>
      <c r="E272" s="28" t="s">
        <v>954</v>
      </c>
      <c r="F272" s="55">
        <v>40.260118500000011</v>
      </c>
      <c r="G272" s="29">
        <v>44652</v>
      </c>
      <c r="H272" s="30">
        <v>44926</v>
      </c>
    </row>
    <row r="273" spans="1:8" x14ac:dyDescent="0.2">
      <c r="A273" s="32">
        <v>452055</v>
      </c>
      <c r="B273" s="27" t="s">
        <v>177</v>
      </c>
      <c r="C273" s="55">
        <v>98.33250000000001</v>
      </c>
      <c r="D273" s="55">
        <v>44.249625000000009</v>
      </c>
      <c r="E273" s="28" t="s">
        <v>954</v>
      </c>
      <c r="F273" s="55">
        <v>41.15215125000001</v>
      </c>
      <c r="G273" s="29">
        <v>44652</v>
      </c>
      <c r="H273" s="30">
        <v>44926</v>
      </c>
    </row>
    <row r="274" spans="1:8" x14ac:dyDescent="0.2">
      <c r="A274" s="32">
        <v>452057</v>
      </c>
      <c r="B274" s="27" t="s">
        <v>178</v>
      </c>
      <c r="C274" s="55">
        <v>141.393</v>
      </c>
      <c r="D274" s="55">
        <v>63.626850000000005</v>
      </c>
      <c r="E274" s="28" t="s">
        <v>954</v>
      </c>
      <c r="F274" s="55">
        <v>59.172970500000005</v>
      </c>
      <c r="G274" s="29">
        <v>44652</v>
      </c>
      <c r="H274" s="30">
        <v>44926</v>
      </c>
    </row>
    <row r="275" spans="1:8" x14ac:dyDescent="0.2">
      <c r="A275" s="32">
        <v>452067</v>
      </c>
      <c r="B275" s="27" t="s">
        <v>179</v>
      </c>
      <c r="C275" s="55">
        <v>167.74799999999999</v>
      </c>
      <c r="D275" s="55">
        <v>75.486599999999996</v>
      </c>
      <c r="E275" s="28" t="s">
        <v>954</v>
      </c>
      <c r="F275" s="55">
        <v>70.202538000000004</v>
      </c>
      <c r="G275" s="29">
        <v>44652</v>
      </c>
      <c r="H275" s="30">
        <v>44926</v>
      </c>
    </row>
    <row r="276" spans="1:8" x14ac:dyDescent="0.2">
      <c r="A276" s="32">
        <v>452072</v>
      </c>
      <c r="B276" s="27" t="s">
        <v>1326</v>
      </c>
      <c r="C276" s="55">
        <v>125</v>
      </c>
      <c r="D276" s="55">
        <v>56.25</v>
      </c>
      <c r="E276" s="28" t="s">
        <v>8</v>
      </c>
      <c r="F276" s="55"/>
      <c r="G276" s="29">
        <v>44652</v>
      </c>
      <c r="H276" s="30">
        <v>44926</v>
      </c>
    </row>
    <row r="277" spans="1:8" x14ac:dyDescent="0.2">
      <c r="A277" s="32">
        <v>452073</v>
      </c>
      <c r="B277" s="27" t="s">
        <v>1324</v>
      </c>
      <c r="C277" s="55">
        <v>138</v>
      </c>
      <c r="D277" s="55">
        <v>62.1</v>
      </c>
      <c r="E277" s="28" t="s">
        <v>8</v>
      </c>
      <c r="F277" s="55"/>
      <c r="G277" s="29">
        <v>44652</v>
      </c>
      <c r="H277" s="30">
        <v>44926</v>
      </c>
    </row>
    <row r="278" spans="1:8" x14ac:dyDescent="0.2">
      <c r="A278" s="32">
        <v>452074</v>
      </c>
      <c r="B278" s="27" t="s">
        <v>1327</v>
      </c>
      <c r="C278" s="55">
        <v>137</v>
      </c>
      <c r="D278" s="55">
        <v>61.65</v>
      </c>
      <c r="E278" s="28" t="s">
        <v>8</v>
      </c>
      <c r="F278" s="55"/>
      <c r="G278" s="29">
        <v>44652</v>
      </c>
      <c r="H278" s="30">
        <v>44926</v>
      </c>
    </row>
    <row r="279" spans="1:8" x14ac:dyDescent="0.2">
      <c r="A279" s="32">
        <v>452075</v>
      </c>
      <c r="B279" s="27" t="s">
        <v>1323</v>
      </c>
      <c r="C279" s="55">
        <v>129</v>
      </c>
      <c r="D279" s="55">
        <v>58.050000000000004</v>
      </c>
      <c r="E279" s="28" t="s">
        <v>8</v>
      </c>
      <c r="F279" s="55"/>
      <c r="G279" s="29">
        <v>44652</v>
      </c>
      <c r="H279" s="30">
        <v>44926</v>
      </c>
    </row>
    <row r="280" spans="1:8" x14ac:dyDescent="0.2">
      <c r="A280" s="32">
        <v>452082</v>
      </c>
      <c r="B280" s="27" t="s">
        <v>180</v>
      </c>
      <c r="C280" s="55">
        <v>132</v>
      </c>
      <c r="D280" s="55">
        <v>59.4</v>
      </c>
      <c r="E280" s="28" t="s">
        <v>8</v>
      </c>
      <c r="F280" s="55"/>
      <c r="G280" s="29">
        <v>44652</v>
      </c>
      <c r="H280" s="30">
        <v>44926</v>
      </c>
    </row>
    <row r="281" spans="1:8" x14ac:dyDescent="0.2">
      <c r="A281" s="32">
        <v>452083</v>
      </c>
      <c r="B281" s="27" t="s">
        <v>181</v>
      </c>
      <c r="C281" s="55">
        <v>132</v>
      </c>
      <c r="D281" s="55">
        <v>59.4</v>
      </c>
      <c r="E281" s="28" t="s">
        <v>8</v>
      </c>
      <c r="F281" s="55"/>
      <c r="G281" s="29">
        <v>44652</v>
      </c>
      <c r="H281" s="30">
        <v>44926</v>
      </c>
    </row>
    <row r="282" spans="1:8" x14ac:dyDescent="0.2">
      <c r="A282" s="32">
        <v>452084</v>
      </c>
      <c r="B282" s="27" t="s">
        <v>182</v>
      </c>
      <c r="C282" s="55">
        <v>130</v>
      </c>
      <c r="D282" s="55">
        <v>58.5</v>
      </c>
      <c r="E282" s="28" t="s">
        <v>8</v>
      </c>
      <c r="F282" s="55"/>
      <c r="G282" s="29">
        <v>44652</v>
      </c>
      <c r="H282" s="30">
        <v>44926</v>
      </c>
    </row>
    <row r="283" spans="1:8" x14ac:dyDescent="0.2">
      <c r="A283" s="32">
        <v>452085</v>
      </c>
      <c r="B283" s="27" t="s">
        <v>183</v>
      </c>
      <c r="C283" s="55">
        <v>133</v>
      </c>
      <c r="D283" s="55">
        <v>59.85</v>
      </c>
      <c r="E283" s="28" t="s">
        <v>8</v>
      </c>
      <c r="F283" s="55"/>
      <c r="G283" s="29">
        <v>44652</v>
      </c>
      <c r="H283" s="30">
        <v>44926</v>
      </c>
    </row>
    <row r="284" spans="1:8" x14ac:dyDescent="0.2">
      <c r="A284" s="32">
        <v>452086</v>
      </c>
      <c r="B284" s="27" t="s">
        <v>1328</v>
      </c>
      <c r="C284" s="55">
        <v>126</v>
      </c>
      <c r="D284" s="55">
        <v>56.7</v>
      </c>
      <c r="E284" s="28" t="s">
        <v>8</v>
      </c>
      <c r="F284" s="55"/>
      <c r="G284" s="29">
        <v>44652</v>
      </c>
      <c r="H284" s="30">
        <v>44926</v>
      </c>
    </row>
    <row r="285" spans="1:8" x14ac:dyDescent="0.2">
      <c r="A285" s="32">
        <v>452087</v>
      </c>
      <c r="B285" s="27" t="s">
        <v>1325</v>
      </c>
      <c r="C285" s="55">
        <v>131</v>
      </c>
      <c r="D285" s="55">
        <v>58.95</v>
      </c>
      <c r="E285" s="28" t="s">
        <v>8</v>
      </c>
      <c r="F285" s="55"/>
      <c r="G285" s="29">
        <v>44652</v>
      </c>
      <c r="H285" s="30">
        <v>44926</v>
      </c>
    </row>
    <row r="286" spans="1:8" x14ac:dyDescent="0.2">
      <c r="A286" s="32">
        <v>452097</v>
      </c>
      <c r="B286" s="27" t="s">
        <v>184</v>
      </c>
      <c r="C286" s="55">
        <v>93.35</v>
      </c>
      <c r="D286" s="55">
        <v>42.0075</v>
      </c>
      <c r="E286" s="28" t="s">
        <v>954</v>
      </c>
      <c r="F286" s="55">
        <v>39.066974999999999</v>
      </c>
      <c r="G286" s="29">
        <v>44652</v>
      </c>
      <c r="H286" s="30">
        <v>44926</v>
      </c>
    </row>
    <row r="287" spans="1:8" x14ac:dyDescent="0.2">
      <c r="A287" s="32">
        <v>452140</v>
      </c>
      <c r="B287" s="27" t="s">
        <v>146</v>
      </c>
      <c r="C287" s="55">
        <v>165.60599999999999</v>
      </c>
      <c r="D287" s="55">
        <v>74.5227</v>
      </c>
      <c r="E287" s="28" t="s">
        <v>954</v>
      </c>
      <c r="F287" s="55">
        <v>69.306111000000001</v>
      </c>
      <c r="G287" s="29">
        <v>44652</v>
      </c>
      <c r="H287" s="30">
        <v>44926</v>
      </c>
    </row>
    <row r="288" spans="1:8" x14ac:dyDescent="0.2">
      <c r="A288" s="32">
        <v>452155</v>
      </c>
      <c r="B288" s="27" t="s">
        <v>1334</v>
      </c>
      <c r="C288" s="55">
        <v>106.47000000000001</v>
      </c>
      <c r="D288" s="55">
        <v>47.911500000000004</v>
      </c>
      <c r="E288" s="28" t="s">
        <v>954</v>
      </c>
      <c r="F288" s="55">
        <v>44.557695000000002</v>
      </c>
      <c r="G288" s="29">
        <v>44652</v>
      </c>
      <c r="H288" s="30">
        <v>44926</v>
      </c>
    </row>
    <row r="289" spans="1:8" x14ac:dyDescent="0.2">
      <c r="A289" s="32">
        <v>452182</v>
      </c>
      <c r="B289" s="27" t="s">
        <v>144</v>
      </c>
      <c r="C289" s="55">
        <v>136.27949999999998</v>
      </c>
      <c r="D289" s="55">
        <v>61.325774999999993</v>
      </c>
      <c r="E289" s="28" t="s">
        <v>8</v>
      </c>
      <c r="F289" s="55"/>
      <c r="G289" s="29">
        <v>44652</v>
      </c>
      <c r="H289" s="30">
        <v>44926</v>
      </c>
    </row>
    <row r="290" spans="1:8" x14ac:dyDescent="0.2">
      <c r="A290" s="32">
        <v>452183</v>
      </c>
      <c r="B290" s="27" t="s">
        <v>145</v>
      </c>
      <c r="C290" s="55">
        <v>136.17449999999999</v>
      </c>
      <c r="D290" s="55">
        <v>61.278525000000002</v>
      </c>
      <c r="E290" s="28" t="s">
        <v>8</v>
      </c>
      <c r="F290" s="55"/>
      <c r="G290" s="29">
        <v>44652</v>
      </c>
      <c r="H290" s="30">
        <v>44926</v>
      </c>
    </row>
    <row r="291" spans="1:8" x14ac:dyDescent="0.2">
      <c r="A291" s="32">
        <v>452186</v>
      </c>
      <c r="B291" s="27" t="s">
        <v>1329</v>
      </c>
      <c r="C291" s="55">
        <v>136.857</v>
      </c>
      <c r="D291" s="55">
        <v>61.585650000000001</v>
      </c>
      <c r="E291" s="28" t="s">
        <v>8</v>
      </c>
      <c r="F291" s="55"/>
      <c r="G291" s="29">
        <v>44652</v>
      </c>
      <c r="H291" s="30">
        <v>44926</v>
      </c>
    </row>
    <row r="292" spans="1:8" x14ac:dyDescent="0.2">
      <c r="A292" s="32">
        <v>452187</v>
      </c>
      <c r="B292" s="27" t="s">
        <v>1330</v>
      </c>
      <c r="C292" s="55">
        <v>136.75200000000001</v>
      </c>
      <c r="D292" s="55">
        <v>61.538400000000003</v>
      </c>
      <c r="E292" s="28" t="s">
        <v>8</v>
      </c>
      <c r="F292" s="55"/>
      <c r="G292" s="29">
        <v>44652</v>
      </c>
      <c r="H292" s="30">
        <v>44926</v>
      </c>
    </row>
    <row r="293" spans="1:8" x14ac:dyDescent="0.2">
      <c r="A293" s="32">
        <v>453028</v>
      </c>
      <c r="B293" s="27" t="s">
        <v>1333</v>
      </c>
      <c r="C293" s="55">
        <v>79.369500000000002</v>
      </c>
      <c r="D293" s="55">
        <v>35.716275000000003</v>
      </c>
      <c r="E293" s="28" t="s">
        <v>954</v>
      </c>
      <c r="F293" s="55">
        <v>33.216135750000007</v>
      </c>
      <c r="G293" s="29">
        <v>44652</v>
      </c>
      <c r="H293" s="30">
        <v>44926</v>
      </c>
    </row>
    <row r="294" spans="1:8" x14ac:dyDescent="0.2">
      <c r="A294" s="32">
        <v>453030</v>
      </c>
      <c r="B294" s="27" t="s">
        <v>1336</v>
      </c>
      <c r="C294" s="55">
        <v>138.90449999999998</v>
      </c>
      <c r="D294" s="55">
        <v>62.507024999999992</v>
      </c>
      <c r="E294" s="28" t="s">
        <v>954</v>
      </c>
      <c r="F294" s="55">
        <v>58.131533249999997</v>
      </c>
      <c r="G294" s="29">
        <v>44652</v>
      </c>
      <c r="H294" s="30">
        <v>44926</v>
      </c>
    </row>
    <row r="295" spans="1:8" x14ac:dyDescent="0.2">
      <c r="A295" s="32">
        <v>453043</v>
      </c>
      <c r="B295" s="27" t="s">
        <v>1335</v>
      </c>
      <c r="C295" s="55">
        <v>147.483</v>
      </c>
      <c r="D295" s="55">
        <v>66.367350000000002</v>
      </c>
      <c r="E295" s="28" t="s">
        <v>954</v>
      </c>
      <c r="F295" s="55">
        <v>61.721635500000005</v>
      </c>
      <c r="G295" s="29">
        <v>44652</v>
      </c>
      <c r="H295" s="30">
        <v>44926</v>
      </c>
    </row>
    <row r="296" spans="1:8" x14ac:dyDescent="0.2">
      <c r="A296" s="32">
        <v>453045</v>
      </c>
      <c r="B296" s="27" t="s">
        <v>1332</v>
      </c>
      <c r="C296" s="55">
        <v>106.25</v>
      </c>
      <c r="D296" s="55">
        <v>47.8125</v>
      </c>
      <c r="E296" s="28" t="s">
        <v>954</v>
      </c>
      <c r="F296" s="55">
        <v>44.465625000000003</v>
      </c>
      <c r="G296" s="29">
        <v>44652</v>
      </c>
      <c r="H296" s="30">
        <v>44926</v>
      </c>
    </row>
    <row r="297" spans="1:8" x14ac:dyDescent="0.2">
      <c r="A297" s="32">
        <v>453085</v>
      </c>
      <c r="B297" s="27" t="s">
        <v>185</v>
      </c>
      <c r="C297" s="55">
        <v>122</v>
      </c>
      <c r="D297" s="55">
        <v>54.9</v>
      </c>
      <c r="E297" s="28" t="s">
        <v>8</v>
      </c>
      <c r="F297" s="55"/>
      <c r="G297" s="29">
        <v>44652</v>
      </c>
      <c r="H297" s="30">
        <v>44926</v>
      </c>
    </row>
    <row r="298" spans="1:8" x14ac:dyDescent="0.2">
      <c r="A298" s="32">
        <v>455032</v>
      </c>
      <c r="B298" s="27" t="s">
        <v>186</v>
      </c>
      <c r="C298" s="55">
        <v>146.601</v>
      </c>
      <c r="D298" s="55">
        <v>65.97045</v>
      </c>
      <c r="E298" s="28" t="s">
        <v>954</v>
      </c>
      <c r="F298" s="55">
        <v>61.352518500000002</v>
      </c>
      <c r="G298" s="29">
        <v>44652</v>
      </c>
      <c r="H298" s="30">
        <v>44926</v>
      </c>
    </row>
    <row r="299" spans="1:8" x14ac:dyDescent="0.2">
      <c r="A299" s="32">
        <v>455067</v>
      </c>
      <c r="B299" s="27" t="s">
        <v>187</v>
      </c>
      <c r="C299" s="55">
        <v>165.58500000000001</v>
      </c>
      <c r="D299" s="55">
        <v>74.513249999999999</v>
      </c>
      <c r="E299" s="28" t="s">
        <v>954</v>
      </c>
      <c r="F299" s="55">
        <v>69.297322500000007</v>
      </c>
      <c r="G299" s="29">
        <v>44652</v>
      </c>
      <c r="H299" s="30">
        <v>44926</v>
      </c>
    </row>
    <row r="300" spans="1:8" x14ac:dyDescent="0.2">
      <c r="A300" s="32">
        <v>457001</v>
      </c>
      <c r="B300" s="27" t="s">
        <v>188</v>
      </c>
      <c r="C300" s="55">
        <v>119.994</v>
      </c>
      <c r="D300" s="55">
        <v>53.997300000000003</v>
      </c>
      <c r="E300" s="28" t="s">
        <v>954</v>
      </c>
      <c r="F300" s="55">
        <v>50.217489000000008</v>
      </c>
      <c r="G300" s="29">
        <v>44652</v>
      </c>
      <c r="H300" s="30">
        <v>44926</v>
      </c>
    </row>
    <row r="301" spans="1:8" x14ac:dyDescent="0.2">
      <c r="A301" s="32">
        <v>457002</v>
      </c>
      <c r="B301" s="27" t="s">
        <v>189</v>
      </c>
      <c r="C301" s="55">
        <v>118.7235</v>
      </c>
      <c r="D301" s="55">
        <v>53.425575000000002</v>
      </c>
      <c r="E301" s="28" t="s">
        <v>954</v>
      </c>
      <c r="F301" s="55">
        <v>49.685784750000003</v>
      </c>
      <c r="G301" s="29">
        <v>44652</v>
      </c>
      <c r="H301" s="30">
        <v>44926</v>
      </c>
    </row>
    <row r="302" spans="1:8" x14ac:dyDescent="0.2">
      <c r="A302" s="32">
        <v>457003</v>
      </c>
      <c r="B302" s="27" t="s">
        <v>190</v>
      </c>
      <c r="C302" s="55">
        <v>229.51950000000002</v>
      </c>
      <c r="D302" s="55">
        <v>103.28377500000001</v>
      </c>
      <c r="E302" s="28" t="s">
        <v>8</v>
      </c>
      <c r="F302" s="55"/>
      <c r="G302" s="29">
        <v>44652</v>
      </c>
      <c r="H302" s="30">
        <v>44926</v>
      </c>
    </row>
    <row r="303" spans="1:8" x14ac:dyDescent="0.2">
      <c r="A303" s="32">
        <v>457004</v>
      </c>
      <c r="B303" s="27" t="s">
        <v>191</v>
      </c>
      <c r="C303" s="55">
        <v>229.51950000000002</v>
      </c>
      <c r="D303" s="55">
        <v>103.28377500000001</v>
      </c>
      <c r="E303" s="28" t="s">
        <v>8</v>
      </c>
      <c r="F303" s="55"/>
      <c r="G303" s="29">
        <v>44652</v>
      </c>
      <c r="H303" s="30">
        <v>44926</v>
      </c>
    </row>
    <row r="304" spans="1:8" x14ac:dyDescent="0.2">
      <c r="A304" s="32">
        <v>457115</v>
      </c>
      <c r="B304" s="27" t="s">
        <v>151</v>
      </c>
      <c r="C304" s="55">
        <v>115.29</v>
      </c>
      <c r="D304" s="55">
        <v>51.880500000000005</v>
      </c>
      <c r="E304" s="28" t="s">
        <v>954</v>
      </c>
      <c r="F304" s="55">
        <v>48.248865000000009</v>
      </c>
      <c r="G304" s="29">
        <v>44652</v>
      </c>
      <c r="H304" s="30">
        <v>44926</v>
      </c>
    </row>
    <row r="305" spans="1:8" x14ac:dyDescent="0.2">
      <c r="A305" s="32">
        <v>470013</v>
      </c>
      <c r="B305" s="27" t="s">
        <v>192</v>
      </c>
      <c r="C305" s="55">
        <v>44.92</v>
      </c>
      <c r="D305" s="55">
        <v>20.214000000000002</v>
      </c>
      <c r="E305" s="28" t="s">
        <v>954</v>
      </c>
      <c r="F305" s="55">
        <v>18.799020000000002</v>
      </c>
      <c r="G305" s="29">
        <v>44652</v>
      </c>
      <c r="H305" s="30">
        <v>44926</v>
      </c>
    </row>
    <row r="306" spans="1:8" x14ac:dyDescent="0.2">
      <c r="A306" s="32">
        <v>470019</v>
      </c>
      <c r="B306" s="27" t="s">
        <v>1036</v>
      </c>
      <c r="C306" s="55">
        <v>36.99</v>
      </c>
      <c r="D306" s="55">
        <v>16.645500000000002</v>
      </c>
      <c r="E306" s="28" t="s">
        <v>954</v>
      </c>
      <c r="F306" s="55">
        <v>15.480315000000003</v>
      </c>
      <c r="G306" s="29">
        <v>44652</v>
      </c>
      <c r="H306" s="30">
        <v>44926</v>
      </c>
    </row>
    <row r="307" spans="1:8" x14ac:dyDescent="0.2">
      <c r="A307" s="32">
        <v>470020</v>
      </c>
      <c r="B307" s="27" t="s">
        <v>1035</v>
      </c>
      <c r="C307" s="55">
        <v>39.659999999999997</v>
      </c>
      <c r="D307" s="55">
        <v>17.846999999999998</v>
      </c>
      <c r="E307" s="28" t="s">
        <v>954</v>
      </c>
      <c r="F307" s="55">
        <v>16.597709999999999</v>
      </c>
      <c r="G307" s="29">
        <v>44652</v>
      </c>
      <c r="H307" s="30">
        <v>44926</v>
      </c>
    </row>
    <row r="308" spans="1:8" x14ac:dyDescent="0.2">
      <c r="A308" s="32">
        <v>470022</v>
      </c>
      <c r="B308" s="27" t="s">
        <v>193</v>
      </c>
      <c r="C308" s="55">
        <v>52.56</v>
      </c>
      <c r="D308" s="55">
        <v>23.652000000000001</v>
      </c>
      <c r="E308" s="28" t="s">
        <v>954</v>
      </c>
      <c r="F308" s="55">
        <v>21.996360000000003</v>
      </c>
      <c r="G308" s="29">
        <v>44652</v>
      </c>
      <c r="H308" s="30">
        <v>44926</v>
      </c>
    </row>
    <row r="309" spans="1:8" x14ac:dyDescent="0.2">
      <c r="A309" s="32">
        <v>470024</v>
      </c>
      <c r="B309" s="27" t="s">
        <v>1037</v>
      </c>
      <c r="C309" s="55">
        <v>33.18</v>
      </c>
      <c r="D309" s="55">
        <v>14.931000000000001</v>
      </c>
      <c r="E309" s="28" t="s">
        <v>954</v>
      </c>
      <c r="F309" s="55">
        <v>13.885830000000002</v>
      </c>
      <c r="G309" s="29">
        <v>44652</v>
      </c>
      <c r="H309" s="30">
        <v>44926</v>
      </c>
    </row>
    <row r="310" spans="1:8" x14ac:dyDescent="0.2">
      <c r="A310" s="32">
        <v>470025</v>
      </c>
      <c r="B310" s="27" t="s">
        <v>194</v>
      </c>
      <c r="C310" s="55">
        <v>45.95</v>
      </c>
      <c r="D310" s="55">
        <v>20.677500000000002</v>
      </c>
      <c r="E310" s="28" t="s">
        <v>954</v>
      </c>
      <c r="F310" s="55">
        <v>19.230075000000003</v>
      </c>
      <c r="G310" s="29">
        <v>44652</v>
      </c>
      <c r="H310" s="30">
        <v>44926</v>
      </c>
    </row>
    <row r="311" spans="1:8" x14ac:dyDescent="0.2">
      <c r="A311" s="32">
        <v>470026</v>
      </c>
      <c r="B311" s="27" t="s">
        <v>195</v>
      </c>
      <c r="C311" s="55">
        <v>19.53</v>
      </c>
      <c r="D311" s="55">
        <v>8.7885000000000009</v>
      </c>
      <c r="E311" s="28" t="s">
        <v>954</v>
      </c>
      <c r="F311" s="55">
        <v>8.1733050000000009</v>
      </c>
      <c r="G311" s="29">
        <v>44652</v>
      </c>
      <c r="H311" s="30">
        <v>44926</v>
      </c>
    </row>
    <row r="312" spans="1:8" x14ac:dyDescent="0.2">
      <c r="A312" s="32">
        <v>470028</v>
      </c>
      <c r="B312" s="27" t="s">
        <v>1081</v>
      </c>
      <c r="C312" s="55">
        <v>214.494</v>
      </c>
      <c r="D312" s="55">
        <v>96.522300000000001</v>
      </c>
      <c r="E312" s="28" t="s">
        <v>8</v>
      </c>
      <c r="F312" s="55"/>
      <c r="G312" s="29">
        <v>44652</v>
      </c>
      <c r="H312" s="30">
        <v>44926</v>
      </c>
    </row>
    <row r="313" spans="1:8" x14ac:dyDescent="0.2">
      <c r="A313" s="32">
        <v>470030</v>
      </c>
      <c r="B313" s="27" t="s">
        <v>1080</v>
      </c>
      <c r="C313" s="55">
        <v>214.494</v>
      </c>
      <c r="D313" s="55">
        <v>96.522300000000001</v>
      </c>
      <c r="E313" s="28" t="s">
        <v>8</v>
      </c>
      <c r="F313" s="55"/>
      <c r="G313" s="29">
        <v>44652</v>
      </c>
      <c r="H313" s="30">
        <v>44926</v>
      </c>
    </row>
    <row r="314" spans="1:8" x14ac:dyDescent="0.2">
      <c r="A314" s="32">
        <v>470033</v>
      </c>
      <c r="B314" s="27" t="s">
        <v>1078</v>
      </c>
      <c r="C314" s="55">
        <v>255</v>
      </c>
      <c r="D314" s="55">
        <v>114.75</v>
      </c>
      <c r="E314" s="28" t="s">
        <v>8</v>
      </c>
      <c r="F314" s="55"/>
      <c r="G314" s="29">
        <v>44652</v>
      </c>
      <c r="H314" s="30">
        <v>44926</v>
      </c>
    </row>
    <row r="315" spans="1:8" x14ac:dyDescent="0.2">
      <c r="A315" s="32">
        <v>470036</v>
      </c>
      <c r="B315" s="27" t="s">
        <v>196</v>
      </c>
      <c r="C315" s="55">
        <v>130.935</v>
      </c>
      <c r="D315" s="55">
        <v>58.920750000000005</v>
      </c>
      <c r="E315" s="28" t="s">
        <v>8</v>
      </c>
      <c r="F315" s="55"/>
      <c r="G315" s="29">
        <v>44652</v>
      </c>
      <c r="H315" s="30">
        <v>44926</v>
      </c>
    </row>
    <row r="316" spans="1:8" x14ac:dyDescent="0.2">
      <c r="A316" s="32">
        <v>470039</v>
      </c>
      <c r="B316" s="27" t="s">
        <v>1076</v>
      </c>
      <c r="C316" s="55">
        <v>198</v>
      </c>
      <c r="D316" s="55">
        <v>89.100000000000009</v>
      </c>
      <c r="E316" s="28" t="s">
        <v>8</v>
      </c>
      <c r="F316" s="55"/>
      <c r="G316" s="29">
        <v>44652</v>
      </c>
      <c r="H316" s="30">
        <v>44926</v>
      </c>
    </row>
    <row r="317" spans="1:8" x14ac:dyDescent="0.2">
      <c r="A317" s="32">
        <v>470041</v>
      </c>
      <c r="B317" s="27" t="s">
        <v>197</v>
      </c>
      <c r="C317" s="55">
        <v>29.77</v>
      </c>
      <c r="D317" s="55">
        <v>13.3965</v>
      </c>
      <c r="E317" s="28" t="s">
        <v>954</v>
      </c>
      <c r="F317" s="55">
        <v>12.458745</v>
      </c>
      <c r="G317" s="29">
        <v>44652</v>
      </c>
      <c r="H317" s="30">
        <v>44926</v>
      </c>
    </row>
    <row r="318" spans="1:8" x14ac:dyDescent="0.2">
      <c r="A318" s="32">
        <v>470042</v>
      </c>
      <c r="B318" s="27" t="s">
        <v>198</v>
      </c>
      <c r="C318" s="55">
        <v>57.24</v>
      </c>
      <c r="D318" s="55">
        <v>25.758000000000003</v>
      </c>
      <c r="E318" s="28" t="s">
        <v>954</v>
      </c>
      <c r="F318" s="55">
        <v>23.954940000000004</v>
      </c>
      <c r="G318" s="29">
        <v>44652</v>
      </c>
      <c r="H318" s="30">
        <v>44926</v>
      </c>
    </row>
    <row r="319" spans="1:8" x14ac:dyDescent="0.2">
      <c r="A319" s="32">
        <v>470043</v>
      </c>
      <c r="B319" s="27" t="s">
        <v>199</v>
      </c>
      <c r="C319" s="55">
        <v>48.25</v>
      </c>
      <c r="D319" s="55">
        <v>21.712500000000002</v>
      </c>
      <c r="E319" s="28" t="s">
        <v>954</v>
      </c>
      <c r="F319" s="55">
        <v>20.192625000000003</v>
      </c>
      <c r="G319" s="29">
        <v>44652</v>
      </c>
      <c r="H319" s="30">
        <v>44926</v>
      </c>
    </row>
    <row r="320" spans="1:8" x14ac:dyDescent="0.2">
      <c r="A320" s="32">
        <v>470046</v>
      </c>
      <c r="B320" s="27" t="s">
        <v>1038</v>
      </c>
      <c r="C320" s="55">
        <v>61.11</v>
      </c>
      <c r="D320" s="55">
        <v>27.499500000000001</v>
      </c>
      <c r="E320" s="28" t="s">
        <v>954</v>
      </c>
      <c r="F320" s="55">
        <v>25.574535000000001</v>
      </c>
      <c r="G320" s="29">
        <v>44652</v>
      </c>
      <c r="H320" s="30">
        <v>44926</v>
      </c>
    </row>
    <row r="321" spans="1:8" x14ac:dyDescent="0.2">
      <c r="A321" s="32">
        <v>470063</v>
      </c>
      <c r="B321" s="27" t="s">
        <v>200</v>
      </c>
      <c r="C321" s="55">
        <v>55.45</v>
      </c>
      <c r="D321" s="55">
        <v>24.952500000000001</v>
      </c>
      <c r="E321" s="28" t="s">
        <v>954</v>
      </c>
      <c r="F321" s="55">
        <v>23.205825000000001</v>
      </c>
      <c r="G321" s="29">
        <v>44652</v>
      </c>
      <c r="H321" s="30">
        <v>44926</v>
      </c>
    </row>
    <row r="322" spans="1:8" x14ac:dyDescent="0.2">
      <c r="A322" s="32">
        <v>470065</v>
      </c>
      <c r="B322" s="27" t="s">
        <v>1077</v>
      </c>
      <c r="C322" s="55">
        <v>275</v>
      </c>
      <c r="D322" s="55">
        <v>123.75</v>
      </c>
      <c r="E322" s="28" t="s">
        <v>8</v>
      </c>
      <c r="F322" s="55"/>
      <c r="G322" s="29">
        <v>44652</v>
      </c>
      <c r="H322" s="30">
        <v>44926</v>
      </c>
    </row>
    <row r="323" spans="1:8" x14ac:dyDescent="0.2">
      <c r="A323" s="32">
        <v>470313</v>
      </c>
      <c r="B323" s="27" t="s">
        <v>201</v>
      </c>
      <c r="C323" s="55">
        <v>141.5925</v>
      </c>
      <c r="D323" s="55">
        <v>63.716625000000001</v>
      </c>
      <c r="E323" s="28" t="s">
        <v>954</v>
      </c>
      <c r="F323" s="55">
        <v>59.256461250000001</v>
      </c>
      <c r="G323" s="29">
        <v>44652</v>
      </c>
      <c r="H323" s="30">
        <v>44926</v>
      </c>
    </row>
    <row r="324" spans="1:8" x14ac:dyDescent="0.2">
      <c r="A324" s="32">
        <v>470343</v>
      </c>
      <c r="B324" s="27" t="s">
        <v>202</v>
      </c>
      <c r="C324" s="55">
        <v>142.7475</v>
      </c>
      <c r="D324" s="55">
        <v>64.23637500000001</v>
      </c>
      <c r="E324" s="28" t="s">
        <v>954</v>
      </c>
      <c r="F324" s="55">
        <v>59.739828750000015</v>
      </c>
      <c r="G324" s="29">
        <v>44652</v>
      </c>
      <c r="H324" s="30">
        <v>44926</v>
      </c>
    </row>
    <row r="325" spans="1:8" x14ac:dyDescent="0.2">
      <c r="A325" s="32">
        <v>470525</v>
      </c>
      <c r="B325" s="27" t="s">
        <v>119</v>
      </c>
      <c r="C325" s="55">
        <v>235.46250000000001</v>
      </c>
      <c r="D325" s="55">
        <v>105.95812500000001</v>
      </c>
      <c r="E325" s="28" t="s">
        <v>8</v>
      </c>
      <c r="F325" s="55"/>
      <c r="G325" s="29">
        <v>44652</v>
      </c>
      <c r="H325" s="30">
        <v>44926</v>
      </c>
    </row>
    <row r="326" spans="1:8" x14ac:dyDescent="0.2">
      <c r="A326" s="32">
        <v>472017</v>
      </c>
      <c r="B326" s="27" t="s">
        <v>171</v>
      </c>
      <c r="C326" s="55">
        <v>110.67000000000002</v>
      </c>
      <c r="D326" s="55">
        <v>49.801500000000011</v>
      </c>
      <c r="E326" s="28" t="s">
        <v>954</v>
      </c>
      <c r="F326" s="55">
        <v>46.315395000000017</v>
      </c>
      <c r="G326" s="29">
        <v>44652</v>
      </c>
      <c r="H326" s="30">
        <v>44926</v>
      </c>
    </row>
    <row r="327" spans="1:8" x14ac:dyDescent="0.2">
      <c r="A327" s="32">
        <v>472019</v>
      </c>
      <c r="B327" s="27" t="s">
        <v>1337</v>
      </c>
      <c r="C327" s="55">
        <v>114.22950000000002</v>
      </c>
      <c r="D327" s="55">
        <v>51.403275000000008</v>
      </c>
      <c r="E327" s="28" t="s">
        <v>954</v>
      </c>
      <c r="F327" s="55">
        <v>47.805045750000012</v>
      </c>
      <c r="G327" s="29">
        <v>44652</v>
      </c>
      <c r="H327" s="30">
        <v>44926</v>
      </c>
    </row>
    <row r="328" spans="1:8" x14ac:dyDescent="0.2">
      <c r="A328" s="32">
        <v>472020</v>
      </c>
      <c r="B328" s="27" t="s">
        <v>203</v>
      </c>
      <c r="C328" s="55">
        <v>91</v>
      </c>
      <c r="D328" s="55">
        <v>40.950000000000003</v>
      </c>
      <c r="E328" s="28" t="s">
        <v>954</v>
      </c>
      <c r="F328" s="55">
        <v>38.083500000000008</v>
      </c>
      <c r="G328" s="29">
        <v>44652</v>
      </c>
      <c r="H328" s="30">
        <v>44926</v>
      </c>
    </row>
    <row r="329" spans="1:8" x14ac:dyDescent="0.2">
      <c r="A329" s="32">
        <v>473022</v>
      </c>
      <c r="B329" s="27" t="s">
        <v>204</v>
      </c>
      <c r="C329" s="55">
        <v>136.60499999999999</v>
      </c>
      <c r="D329" s="55">
        <v>61.472249999999995</v>
      </c>
      <c r="E329" s="28" t="s">
        <v>954</v>
      </c>
      <c r="F329" s="55">
        <v>57.169192500000001</v>
      </c>
      <c r="G329" s="29">
        <v>44652</v>
      </c>
      <c r="H329" s="30">
        <v>44926</v>
      </c>
    </row>
    <row r="330" spans="1:8" x14ac:dyDescent="0.2">
      <c r="A330" s="32">
        <v>490001</v>
      </c>
      <c r="B330" s="27" t="s">
        <v>205</v>
      </c>
      <c r="C330" s="55">
        <v>427.03500000000003</v>
      </c>
      <c r="D330" s="55">
        <v>192.16575</v>
      </c>
      <c r="E330" s="28" t="s">
        <v>8</v>
      </c>
      <c r="F330" s="55"/>
      <c r="G330" s="29">
        <v>44652</v>
      </c>
      <c r="H330" s="30">
        <v>44926</v>
      </c>
    </row>
    <row r="331" spans="1:8" x14ac:dyDescent="0.2">
      <c r="A331" s="32">
        <v>500051</v>
      </c>
      <c r="B331" s="27" t="s">
        <v>206</v>
      </c>
      <c r="C331" s="55">
        <v>37.590000000000003</v>
      </c>
      <c r="D331" s="55">
        <v>16.915500000000002</v>
      </c>
      <c r="E331" s="28" t="s">
        <v>954</v>
      </c>
      <c r="F331" s="55">
        <v>15.731415000000002</v>
      </c>
      <c r="G331" s="29">
        <v>44652</v>
      </c>
      <c r="H331" s="30">
        <v>44926</v>
      </c>
    </row>
    <row r="332" spans="1:8" x14ac:dyDescent="0.2">
      <c r="A332" s="32">
        <v>500052</v>
      </c>
      <c r="B332" s="27" t="s">
        <v>207</v>
      </c>
      <c r="C332" s="55">
        <v>17.77</v>
      </c>
      <c r="D332" s="55">
        <v>7.9965000000000002</v>
      </c>
      <c r="E332" s="28" t="s">
        <v>954</v>
      </c>
      <c r="F332" s="55">
        <v>7.4367450000000002</v>
      </c>
      <c r="G332" s="29">
        <v>44652</v>
      </c>
      <c r="H332" s="30">
        <v>44926</v>
      </c>
    </row>
    <row r="333" spans="1:8" x14ac:dyDescent="0.2">
      <c r="A333" s="32">
        <v>500053</v>
      </c>
      <c r="B333" s="27" t="s">
        <v>208</v>
      </c>
      <c r="C333" s="55">
        <v>17.649999999999999</v>
      </c>
      <c r="D333" s="55">
        <v>7.9424999999999999</v>
      </c>
      <c r="E333" s="28" t="s">
        <v>954</v>
      </c>
      <c r="F333" s="55">
        <v>7.3865250000000007</v>
      </c>
      <c r="G333" s="29">
        <v>44652</v>
      </c>
      <c r="H333" s="30">
        <v>44926</v>
      </c>
    </row>
    <row r="334" spans="1:8" x14ac:dyDescent="0.2">
      <c r="A334" s="32">
        <v>500054</v>
      </c>
      <c r="B334" s="27" t="s">
        <v>209</v>
      </c>
      <c r="C334" s="55">
        <v>25.82</v>
      </c>
      <c r="D334" s="55">
        <v>11.619</v>
      </c>
      <c r="E334" s="28" t="s">
        <v>954</v>
      </c>
      <c r="F334" s="55">
        <v>10.805670000000001</v>
      </c>
      <c r="G334" s="29">
        <v>44652</v>
      </c>
      <c r="H334" s="30">
        <v>44926</v>
      </c>
    </row>
    <row r="335" spans="1:8" x14ac:dyDescent="0.2">
      <c r="A335" s="32">
        <v>500055</v>
      </c>
      <c r="B335" s="27" t="s">
        <v>210</v>
      </c>
      <c r="C335" s="55">
        <v>25.82</v>
      </c>
      <c r="D335" s="55">
        <v>11.619</v>
      </c>
      <c r="E335" s="28" t="s">
        <v>954</v>
      </c>
      <c r="F335" s="55">
        <v>10.805670000000001</v>
      </c>
      <c r="G335" s="29">
        <v>44652</v>
      </c>
      <c r="H335" s="30">
        <v>44926</v>
      </c>
    </row>
    <row r="336" spans="1:8" x14ac:dyDescent="0.2">
      <c r="A336" s="32">
        <v>500056</v>
      </c>
      <c r="B336" s="27" t="s">
        <v>211</v>
      </c>
      <c r="C336" s="55">
        <v>18.920000000000002</v>
      </c>
      <c r="D336" s="55">
        <v>8.5140000000000011</v>
      </c>
      <c r="E336" s="28" t="s">
        <v>954</v>
      </c>
      <c r="F336" s="55">
        <v>7.9180200000000012</v>
      </c>
      <c r="G336" s="29">
        <v>44652</v>
      </c>
      <c r="H336" s="30">
        <v>44926</v>
      </c>
    </row>
    <row r="337" spans="1:8" x14ac:dyDescent="0.2">
      <c r="A337" s="32">
        <v>500057</v>
      </c>
      <c r="B337" s="27" t="s">
        <v>1041</v>
      </c>
      <c r="C337" s="55">
        <v>37.020000000000003</v>
      </c>
      <c r="D337" s="55">
        <v>16.659000000000002</v>
      </c>
      <c r="E337" s="28" t="s">
        <v>954</v>
      </c>
      <c r="F337" s="55">
        <v>15.492870000000003</v>
      </c>
      <c r="G337" s="29">
        <v>44652</v>
      </c>
      <c r="H337" s="30">
        <v>44926</v>
      </c>
    </row>
    <row r="338" spans="1:8" x14ac:dyDescent="0.2">
      <c r="A338" s="32">
        <v>500058</v>
      </c>
      <c r="B338" s="27" t="s">
        <v>212</v>
      </c>
      <c r="C338" s="55">
        <v>20.54</v>
      </c>
      <c r="D338" s="55">
        <v>9.2430000000000003</v>
      </c>
      <c r="E338" s="28" t="s">
        <v>954</v>
      </c>
      <c r="F338" s="55">
        <v>8.5959900000000005</v>
      </c>
      <c r="G338" s="29">
        <v>44652</v>
      </c>
      <c r="H338" s="30">
        <v>44926</v>
      </c>
    </row>
    <row r="339" spans="1:8" x14ac:dyDescent="0.2">
      <c r="A339" s="32">
        <v>500059</v>
      </c>
      <c r="B339" s="27" t="s">
        <v>213</v>
      </c>
      <c r="C339" s="55">
        <v>21.01</v>
      </c>
      <c r="D339" s="55">
        <v>9.4545000000000012</v>
      </c>
      <c r="E339" s="28" t="s">
        <v>954</v>
      </c>
      <c r="F339" s="55">
        <v>8.7926850000000023</v>
      </c>
      <c r="G339" s="29">
        <v>44652</v>
      </c>
      <c r="H339" s="30">
        <v>44926</v>
      </c>
    </row>
    <row r="340" spans="1:8" x14ac:dyDescent="0.2">
      <c r="A340" s="32">
        <v>500061</v>
      </c>
      <c r="B340" s="27" t="s">
        <v>214</v>
      </c>
      <c r="C340" s="55">
        <v>31.29</v>
      </c>
      <c r="D340" s="55">
        <v>14.080500000000001</v>
      </c>
      <c r="E340" s="28" t="s">
        <v>954</v>
      </c>
      <c r="F340" s="55">
        <v>13.094865000000002</v>
      </c>
      <c r="G340" s="29">
        <v>44652</v>
      </c>
      <c r="H340" s="30">
        <v>44926</v>
      </c>
    </row>
    <row r="341" spans="1:8" x14ac:dyDescent="0.2">
      <c r="A341" s="32">
        <v>500062</v>
      </c>
      <c r="B341" s="27" t="s">
        <v>1042</v>
      </c>
      <c r="C341" s="55">
        <v>44.77</v>
      </c>
      <c r="D341" s="55">
        <v>20.146500000000003</v>
      </c>
      <c r="E341" s="28" t="s">
        <v>954</v>
      </c>
      <c r="F341" s="55">
        <v>18.736245000000004</v>
      </c>
      <c r="G341" s="29">
        <v>44652</v>
      </c>
      <c r="H341" s="30">
        <v>44926</v>
      </c>
    </row>
    <row r="342" spans="1:8" x14ac:dyDescent="0.2">
      <c r="A342" s="32">
        <v>500252</v>
      </c>
      <c r="B342" s="27" t="s">
        <v>215</v>
      </c>
      <c r="C342" s="55">
        <v>37.852499999999999</v>
      </c>
      <c r="D342" s="55">
        <v>17.033625000000001</v>
      </c>
      <c r="E342" s="28" t="s">
        <v>954</v>
      </c>
      <c r="F342" s="55">
        <v>15.841271250000002</v>
      </c>
      <c r="G342" s="29">
        <v>44652</v>
      </c>
      <c r="H342" s="30">
        <v>44926</v>
      </c>
    </row>
    <row r="343" spans="1:8" x14ac:dyDescent="0.2">
      <c r="A343" s="32">
        <v>500253</v>
      </c>
      <c r="B343" s="27" t="s">
        <v>216</v>
      </c>
      <c r="C343" s="55">
        <v>37.852499999999999</v>
      </c>
      <c r="D343" s="55">
        <v>17.033625000000001</v>
      </c>
      <c r="E343" s="28" t="s">
        <v>954</v>
      </c>
      <c r="F343" s="55">
        <v>15.841271250000002</v>
      </c>
      <c r="G343" s="29">
        <v>44652</v>
      </c>
      <c r="H343" s="30">
        <v>44926</v>
      </c>
    </row>
    <row r="344" spans="1:8" x14ac:dyDescent="0.2">
      <c r="A344" s="32">
        <v>500254</v>
      </c>
      <c r="B344" s="27" t="s">
        <v>217</v>
      </c>
      <c r="C344" s="55">
        <v>40.099499999999999</v>
      </c>
      <c r="D344" s="55">
        <v>18.044775000000001</v>
      </c>
      <c r="E344" s="28" t="s">
        <v>954</v>
      </c>
      <c r="F344" s="55">
        <v>16.781640750000001</v>
      </c>
      <c r="G344" s="29">
        <v>44652</v>
      </c>
      <c r="H344" s="30">
        <v>44926</v>
      </c>
    </row>
    <row r="345" spans="1:8" x14ac:dyDescent="0.2">
      <c r="A345" s="32">
        <v>500255</v>
      </c>
      <c r="B345" s="27" t="s">
        <v>218</v>
      </c>
      <c r="C345" s="55">
        <v>40.099499999999999</v>
      </c>
      <c r="D345" s="55">
        <v>18.044775000000001</v>
      </c>
      <c r="E345" s="28" t="s">
        <v>954</v>
      </c>
      <c r="F345" s="55">
        <v>16.781640750000001</v>
      </c>
      <c r="G345" s="29">
        <v>44652</v>
      </c>
      <c r="H345" s="30">
        <v>44926</v>
      </c>
    </row>
    <row r="346" spans="1:8" x14ac:dyDescent="0.2">
      <c r="A346" s="32">
        <v>500258</v>
      </c>
      <c r="B346" s="27" t="s">
        <v>222</v>
      </c>
      <c r="C346" s="55">
        <v>64.00800000000001</v>
      </c>
      <c r="D346" s="55">
        <v>28.803600000000007</v>
      </c>
      <c r="E346" s="28" t="s">
        <v>954</v>
      </c>
      <c r="F346" s="55">
        <v>26.787348000000009</v>
      </c>
      <c r="G346" s="29">
        <v>44652</v>
      </c>
      <c r="H346" s="30">
        <v>44926</v>
      </c>
    </row>
    <row r="347" spans="1:8" x14ac:dyDescent="0.2">
      <c r="A347" s="32">
        <v>500259</v>
      </c>
      <c r="B347" s="27" t="s">
        <v>1318</v>
      </c>
      <c r="C347" s="55">
        <v>64.00800000000001</v>
      </c>
      <c r="D347" s="55">
        <v>28.803600000000007</v>
      </c>
      <c r="E347" s="28" t="s">
        <v>954</v>
      </c>
      <c r="F347" s="55">
        <v>26.787348000000009</v>
      </c>
      <c r="G347" s="29">
        <v>44652</v>
      </c>
      <c r="H347" s="30">
        <v>44926</v>
      </c>
    </row>
    <row r="348" spans="1:8" x14ac:dyDescent="0.2">
      <c r="A348" s="32">
        <v>500263</v>
      </c>
      <c r="B348" s="27" t="s">
        <v>224</v>
      </c>
      <c r="C348" s="55">
        <v>63.189</v>
      </c>
      <c r="D348" s="55">
        <v>28.43505</v>
      </c>
      <c r="E348" s="28" t="s">
        <v>954</v>
      </c>
      <c r="F348" s="55">
        <v>26.444596500000003</v>
      </c>
      <c r="G348" s="29">
        <v>44652</v>
      </c>
      <c r="H348" s="30">
        <v>44926</v>
      </c>
    </row>
    <row r="349" spans="1:8" x14ac:dyDescent="0.2">
      <c r="A349" s="32">
        <v>500264</v>
      </c>
      <c r="B349" s="27" t="s">
        <v>1317</v>
      </c>
      <c r="C349" s="55">
        <v>63.189</v>
      </c>
      <c r="D349" s="55">
        <v>28.43505</v>
      </c>
      <c r="E349" s="28" t="s">
        <v>954</v>
      </c>
      <c r="F349" s="55">
        <v>26.444596500000003</v>
      </c>
      <c r="G349" s="29">
        <v>44652</v>
      </c>
      <c r="H349" s="30">
        <v>44926</v>
      </c>
    </row>
    <row r="350" spans="1:8" x14ac:dyDescent="0.2">
      <c r="A350" s="32">
        <v>500452</v>
      </c>
      <c r="B350" s="27" t="s">
        <v>215</v>
      </c>
      <c r="C350" s="55">
        <v>38</v>
      </c>
      <c r="D350" s="55">
        <v>17.100000000000001</v>
      </c>
      <c r="E350" s="28" t="s">
        <v>954</v>
      </c>
      <c r="F350" s="55">
        <v>15.903000000000002</v>
      </c>
      <c r="G350" s="29">
        <v>44652</v>
      </c>
      <c r="H350" s="30">
        <v>44926</v>
      </c>
    </row>
    <row r="351" spans="1:8" x14ac:dyDescent="0.2">
      <c r="A351" s="32">
        <v>500453</v>
      </c>
      <c r="B351" s="27" t="s">
        <v>219</v>
      </c>
      <c r="C351" s="55">
        <v>35.5</v>
      </c>
      <c r="D351" s="55">
        <v>15.975</v>
      </c>
      <c r="E351" s="28" t="s">
        <v>954</v>
      </c>
      <c r="F351" s="55">
        <v>14.85675</v>
      </c>
      <c r="G351" s="29">
        <v>44652</v>
      </c>
      <c r="H351" s="30">
        <v>44926</v>
      </c>
    </row>
    <row r="352" spans="1:8" x14ac:dyDescent="0.2">
      <c r="A352" s="32">
        <v>500454</v>
      </c>
      <c r="B352" s="27" t="s">
        <v>220</v>
      </c>
      <c r="C352" s="55">
        <v>43.75</v>
      </c>
      <c r="D352" s="55">
        <v>19.6875</v>
      </c>
      <c r="E352" s="28" t="s">
        <v>954</v>
      </c>
      <c r="F352" s="55">
        <v>18.309374999999999</v>
      </c>
      <c r="G352" s="29">
        <v>44652</v>
      </c>
      <c r="H352" s="30">
        <v>44926</v>
      </c>
    </row>
    <row r="353" spans="1:8" x14ac:dyDescent="0.2">
      <c r="A353" s="32">
        <v>500455</v>
      </c>
      <c r="B353" s="27" t="s">
        <v>221</v>
      </c>
      <c r="C353" s="55">
        <v>37.296000000000006</v>
      </c>
      <c r="D353" s="55">
        <v>16.783200000000004</v>
      </c>
      <c r="E353" s="28" t="s">
        <v>954</v>
      </c>
      <c r="F353" s="55">
        <v>15.608376000000005</v>
      </c>
      <c r="G353" s="29">
        <v>44652</v>
      </c>
      <c r="H353" s="30">
        <v>44926</v>
      </c>
    </row>
    <row r="354" spans="1:8" x14ac:dyDescent="0.2">
      <c r="A354" s="32">
        <v>500458</v>
      </c>
      <c r="B354" s="27" t="s">
        <v>222</v>
      </c>
      <c r="C354" s="55">
        <v>61.204500000000003</v>
      </c>
      <c r="D354" s="55">
        <v>27.542025000000002</v>
      </c>
      <c r="E354" s="28" t="s">
        <v>954</v>
      </c>
      <c r="F354" s="55">
        <v>25.614083250000004</v>
      </c>
      <c r="G354" s="29">
        <v>44652</v>
      </c>
      <c r="H354" s="30">
        <v>44926</v>
      </c>
    </row>
    <row r="355" spans="1:8" x14ac:dyDescent="0.2">
      <c r="A355" s="32">
        <v>500459</v>
      </c>
      <c r="B355" s="27" t="s">
        <v>223</v>
      </c>
      <c r="C355" s="55">
        <v>61.204500000000003</v>
      </c>
      <c r="D355" s="55">
        <v>27.542025000000002</v>
      </c>
      <c r="E355" s="28" t="s">
        <v>954</v>
      </c>
      <c r="F355" s="55">
        <v>25.614083250000004</v>
      </c>
      <c r="G355" s="29">
        <v>44652</v>
      </c>
      <c r="H355" s="30">
        <v>44926</v>
      </c>
    </row>
    <row r="356" spans="1:8" x14ac:dyDescent="0.2">
      <c r="A356" s="32">
        <v>500463</v>
      </c>
      <c r="B356" s="27" t="s">
        <v>224</v>
      </c>
      <c r="C356" s="55">
        <v>60.3855</v>
      </c>
      <c r="D356" s="55">
        <v>27.173475</v>
      </c>
      <c r="E356" s="28" t="s">
        <v>954</v>
      </c>
      <c r="F356" s="55">
        <v>25.271331750000002</v>
      </c>
      <c r="G356" s="29">
        <v>44652</v>
      </c>
      <c r="H356" s="30">
        <v>44926</v>
      </c>
    </row>
    <row r="357" spans="1:8" x14ac:dyDescent="0.2">
      <c r="A357" s="32">
        <v>500464</v>
      </c>
      <c r="B357" s="27" t="s">
        <v>225</v>
      </c>
      <c r="C357" s="55">
        <v>60.3855</v>
      </c>
      <c r="D357" s="55">
        <v>27.173475</v>
      </c>
      <c r="E357" s="28" t="s">
        <v>954</v>
      </c>
      <c r="F357" s="55">
        <v>25.271331750000002</v>
      </c>
      <c r="G357" s="29">
        <v>44652</v>
      </c>
      <c r="H357" s="30">
        <v>44926</v>
      </c>
    </row>
    <row r="358" spans="1:8" x14ac:dyDescent="0.2">
      <c r="A358" s="32">
        <v>510001</v>
      </c>
      <c r="B358" s="27" t="s">
        <v>226</v>
      </c>
      <c r="C358" s="55">
        <v>22.46</v>
      </c>
      <c r="D358" s="55">
        <v>10.107000000000001</v>
      </c>
      <c r="E358" s="28" t="s">
        <v>954</v>
      </c>
      <c r="F358" s="55">
        <v>9.3995100000000011</v>
      </c>
      <c r="G358" s="29">
        <v>44652</v>
      </c>
      <c r="H358" s="30">
        <v>44926</v>
      </c>
    </row>
    <row r="359" spans="1:8" x14ac:dyDescent="0.2">
      <c r="A359" s="32">
        <v>510002</v>
      </c>
      <c r="B359" s="27" t="s">
        <v>227</v>
      </c>
      <c r="C359" s="55">
        <v>20.7</v>
      </c>
      <c r="D359" s="55">
        <v>9.3149999999999995</v>
      </c>
      <c r="E359" s="28" t="s">
        <v>954</v>
      </c>
      <c r="F359" s="55">
        <v>8.6629500000000004</v>
      </c>
      <c r="G359" s="29">
        <v>44652</v>
      </c>
      <c r="H359" s="30">
        <v>44926</v>
      </c>
    </row>
    <row r="360" spans="1:8" x14ac:dyDescent="0.2">
      <c r="A360" s="32">
        <v>510003</v>
      </c>
      <c r="B360" s="27" t="s">
        <v>228</v>
      </c>
      <c r="C360" s="55">
        <v>24.63</v>
      </c>
      <c r="D360" s="55">
        <v>11.083499999999999</v>
      </c>
      <c r="E360" s="28" t="s">
        <v>954</v>
      </c>
      <c r="F360" s="55">
        <v>10.307655</v>
      </c>
      <c r="G360" s="29">
        <v>44652</v>
      </c>
      <c r="H360" s="30">
        <v>44926</v>
      </c>
    </row>
    <row r="361" spans="1:8" x14ac:dyDescent="0.2">
      <c r="A361" s="32">
        <v>510004</v>
      </c>
      <c r="B361" s="27" t="s">
        <v>229</v>
      </c>
      <c r="C361" s="55">
        <v>21.77</v>
      </c>
      <c r="D361" s="55">
        <v>9.7965</v>
      </c>
      <c r="E361" s="28" t="s">
        <v>954</v>
      </c>
      <c r="F361" s="55">
        <v>9.1107449999999996</v>
      </c>
      <c r="G361" s="29">
        <v>44652</v>
      </c>
      <c r="H361" s="30">
        <v>44926</v>
      </c>
    </row>
    <row r="362" spans="1:8" x14ac:dyDescent="0.2">
      <c r="A362" s="32">
        <v>510005</v>
      </c>
      <c r="B362" s="27" t="s">
        <v>230</v>
      </c>
      <c r="C362" s="55">
        <v>24.1</v>
      </c>
      <c r="D362" s="55">
        <v>10.845000000000001</v>
      </c>
      <c r="E362" s="28" t="s">
        <v>954</v>
      </c>
      <c r="F362" s="55">
        <v>10.085850000000001</v>
      </c>
      <c r="G362" s="29">
        <v>44652</v>
      </c>
      <c r="H362" s="30">
        <v>44926</v>
      </c>
    </row>
    <row r="363" spans="1:8" x14ac:dyDescent="0.2">
      <c r="A363" s="32">
        <v>510006</v>
      </c>
      <c r="B363" s="27" t="s">
        <v>231</v>
      </c>
      <c r="C363" s="55">
        <v>23.75</v>
      </c>
      <c r="D363" s="55">
        <v>10.6875</v>
      </c>
      <c r="E363" s="28" t="s">
        <v>954</v>
      </c>
      <c r="F363" s="55">
        <v>9.9393750000000001</v>
      </c>
      <c r="G363" s="29">
        <v>44652</v>
      </c>
      <c r="H363" s="30">
        <v>44926</v>
      </c>
    </row>
    <row r="364" spans="1:8" x14ac:dyDescent="0.2">
      <c r="A364" s="32">
        <v>510007</v>
      </c>
      <c r="B364" s="27" t="s">
        <v>232</v>
      </c>
      <c r="C364" s="55">
        <v>23.687999999999999</v>
      </c>
      <c r="D364" s="55">
        <v>10.659599999999999</v>
      </c>
      <c r="E364" s="28" t="s">
        <v>954</v>
      </c>
      <c r="F364" s="55">
        <v>9.9134279999999997</v>
      </c>
      <c r="G364" s="29">
        <v>44652</v>
      </c>
      <c r="H364" s="30">
        <v>44926</v>
      </c>
    </row>
    <row r="365" spans="1:8" x14ac:dyDescent="0.2">
      <c r="A365" s="32">
        <v>510008</v>
      </c>
      <c r="B365" s="27" t="s">
        <v>233</v>
      </c>
      <c r="C365" s="55">
        <v>23.687999999999999</v>
      </c>
      <c r="D365" s="55">
        <v>10.659599999999999</v>
      </c>
      <c r="E365" s="28" t="s">
        <v>954</v>
      </c>
      <c r="F365" s="55">
        <v>9.9134279999999997</v>
      </c>
      <c r="G365" s="29">
        <v>44652</v>
      </c>
      <c r="H365" s="30">
        <v>44926</v>
      </c>
    </row>
    <row r="366" spans="1:8" x14ac:dyDescent="0.2">
      <c r="A366" s="32">
        <v>510011</v>
      </c>
      <c r="B366" s="27" t="s">
        <v>234</v>
      </c>
      <c r="C366" s="55">
        <v>23.02</v>
      </c>
      <c r="D366" s="55">
        <v>10.359</v>
      </c>
      <c r="E366" s="28" t="s">
        <v>954</v>
      </c>
      <c r="F366" s="55">
        <v>9.6338699999999999</v>
      </c>
      <c r="G366" s="29">
        <v>44652</v>
      </c>
      <c r="H366" s="30">
        <v>44926</v>
      </c>
    </row>
    <row r="367" spans="1:8" x14ac:dyDescent="0.2">
      <c r="A367" s="32">
        <v>510012</v>
      </c>
      <c r="B367" s="27" t="s">
        <v>235</v>
      </c>
      <c r="C367" s="55">
        <v>21.25</v>
      </c>
      <c r="D367" s="55">
        <v>9.5625</v>
      </c>
      <c r="E367" s="28" t="s">
        <v>954</v>
      </c>
      <c r="F367" s="55">
        <v>8.8931250000000013</v>
      </c>
      <c r="G367" s="29">
        <v>44652</v>
      </c>
      <c r="H367" s="30">
        <v>44926</v>
      </c>
    </row>
    <row r="368" spans="1:8" x14ac:dyDescent="0.2">
      <c r="A368" s="32">
        <v>510013</v>
      </c>
      <c r="B368" s="27" t="s">
        <v>236</v>
      </c>
      <c r="C368" s="55">
        <v>24.63</v>
      </c>
      <c r="D368" s="55">
        <v>11.083499999999999</v>
      </c>
      <c r="E368" s="28" t="s">
        <v>954</v>
      </c>
      <c r="F368" s="55">
        <v>10.307655</v>
      </c>
      <c r="G368" s="29">
        <v>44652</v>
      </c>
      <c r="H368" s="30">
        <v>44926</v>
      </c>
    </row>
    <row r="369" spans="1:8" x14ac:dyDescent="0.2">
      <c r="A369" s="32">
        <v>510014</v>
      </c>
      <c r="B369" s="27" t="s">
        <v>237</v>
      </c>
      <c r="C369" s="55">
        <v>21.71</v>
      </c>
      <c r="D369" s="55">
        <v>9.7695000000000007</v>
      </c>
      <c r="E369" s="28" t="s">
        <v>954</v>
      </c>
      <c r="F369" s="55">
        <v>9.0856350000000017</v>
      </c>
      <c r="G369" s="29">
        <v>44652</v>
      </c>
      <c r="H369" s="30">
        <v>44926</v>
      </c>
    </row>
    <row r="370" spans="1:8" x14ac:dyDescent="0.2">
      <c r="A370" s="32">
        <v>510015</v>
      </c>
      <c r="B370" s="27" t="s">
        <v>238</v>
      </c>
      <c r="C370" s="55">
        <v>25.5</v>
      </c>
      <c r="D370" s="55">
        <v>11.475</v>
      </c>
      <c r="E370" s="28" t="s">
        <v>954</v>
      </c>
      <c r="F370" s="55">
        <v>10.671749999999999</v>
      </c>
      <c r="G370" s="29">
        <v>44652</v>
      </c>
      <c r="H370" s="30">
        <v>44926</v>
      </c>
    </row>
    <row r="371" spans="1:8" x14ac:dyDescent="0.2">
      <c r="A371" s="32">
        <v>510016</v>
      </c>
      <c r="B371" s="27" t="s">
        <v>239</v>
      </c>
      <c r="C371" s="55">
        <v>23.8</v>
      </c>
      <c r="D371" s="55">
        <v>10.71</v>
      </c>
      <c r="E371" s="28" t="s">
        <v>954</v>
      </c>
      <c r="F371" s="55">
        <v>9.9603000000000019</v>
      </c>
      <c r="G371" s="29">
        <v>44652</v>
      </c>
      <c r="H371" s="30">
        <v>44926</v>
      </c>
    </row>
    <row r="372" spans="1:8" x14ac:dyDescent="0.2">
      <c r="A372" s="32">
        <v>510017</v>
      </c>
      <c r="B372" s="27" t="s">
        <v>240</v>
      </c>
      <c r="C372" s="55">
        <v>24.444000000000003</v>
      </c>
      <c r="D372" s="55">
        <v>10.999800000000002</v>
      </c>
      <c r="E372" s="28" t="s">
        <v>954</v>
      </c>
      <c r="F372" s="55">
        <v>10.229814000000003</v>
      </c>
      <c r="G372" s="29">
        <v>44652</v>
      </c>
      <c r="H372" s="30">
        <v>44926</v>
      </c>
    </row>
    <row r="373" spans="1:8" x14ac:dyDescent="0.2">
      <c r="A373" s="32">
        <v>510018</v>
      </c>
      <c r="B373" s="27" t="s">
        <v>241</v>
      </c>
      <c r="C373" s="55">
        <v>25.546499999999998</v>
      </c>
      <c r="D373" s="55">
        <v>11.495925</v>
      </c>
      <c r="E373" s="28" t="s">
        <v>954</v>
      </c>
      <c r="F373" s="55">
        <v>10.691210250000001</v>
      </c>
      <c r="G373" s="29">
        <v>44652</v>
      </c>
      <c r="H373" s="30">
        <v>44926</v>
      </c>
    </row>
    <row r="374" spans="1:8" x14ac:dyDescent="0.2">
      <c r="A374" s="32">
        <v>510021</v>
      </c>
      <c r="B374" s="27" t="s">
        <v>242</v>
      </c>
      <c r="C374" s="55">
        <v>41.37</v>
      </c>
      <c r="D374" s="55">
        <v>18.616499999999998</v>
      </c>
      <c r="E374" s="28" t="s">
        <v>954</v>
      </c>
      <c r="F374" s="55">
        <v>17.313344999999998</v>
      </c>
      <c r="G374" s="29">
        <v>44652</v>
      </c>
      <c r="H374" s="30">
        <v>44926</v>
      </c>
    </row>
    <row r="375" spans="1:8" x14ac:dyDescent="0.2">
      <c r="A375" s="32">
        <v>510022</v>
      </c>
      <c r="B375" s="27" t="s">
        <v>243</v>
      </c>
      <c r="C375" s="55">
        <v>41.37</v>
      </c>
      <c r="D375" s="55">
        <v>18.616499999999998</v>
      </c>
      <c r="E375" s="28" t="s">
        <v>954</v>
      </c>
      <c r="F375" s="55">
        <v>17.313344999999998</v>
      </c>
      <c r="G375" s="29">
        <v>44652</v>
      </c>
      <c r="H375" s="30">
        <v>44926</v>
      </c>
    </row>
    <row r="376" spans="1:8" x14ac:dyDescent="0.2">
      <c r="A376" s="32">
        <v>510023</v>
      </c>
      <c r="B376" s="27" t="s">
        <v>244</v>
      </c>
      <c r="C376" s="55">
        <v>41.37</v>
      </c>
      <c r="D376" s="55">
        <v>18.616499999999998</v>
      </c>
      <c r="E376" s="28" t="s">
        <v>954</v>
      </c>
      <c r="F376" s="55">
        <v>17.313344999999998</v>
      </c>
      <c r="G376" s="29">
        <v>44652</v>
      </c>
      <c r="H376" s="30">
        <v>44926</v>
      </c>
    </row>
    <row r="377" spans="1:8" x14ac:dyDescent="0.2">
      <c r="A377" s="32">
        <v>510024</v>
      </c>
      <c r="B377" s="27" t="s">
        <v>245</v>
      </c>
      <c r="C377" s="55">
        <v>41.37</v>
      </c>
      <c r="D377" s="55">
        <v>18.616499999999998</v>
      </c>
      <c r="E377" s="28" t="s">
        <v>954</v>
      </c>
      <c r="F377" s="55">
        <v>17.313344999999998</v>
      </c>
      <c r="G377" s="29">
        <v>44652</v>
      </c>
      <c r="H377" s="30">
        <v>44926</v>
      </c>
    </row>
    <row r="378" spans="1:8" x14ac:dyDescent="0.2">
      <c r="A378" s="32">
        <v>510025</v>
      </c>
      <c r="B378" s="27" t="s">
        <v>246</v>
      </c>
      <c r="C378" s="55">
        <v>41.37</v>
      </c>
      <c r="D378" s="55">
        <v>18.616499999999998</v>
      </c>
      <c r="E378" s="28" t="s">
        <v>954</v>
      </c>
      <c r="F378" s="55">
        <v>17.313344999999998</v>
      </c>
      <c r="G378" s="29">
        <v>44652</v>
      </c>
      <c r="H378" s="30">
        <v>44926</v>
      </c>
    </row>
    <row r="379" spans="1:8" x14ac:dyDescent="0.2">
      <c r="A379" s="32">
        <v>510026</v>
      </c>
      <c r="B379" s="27" t="s">
        <v>247</v>
      </c>
      <c r="C379" s="55">
        <v>41.37</v>
      </c>
      <c r="D379" s="55">
        <v>18.616499999999998</v>
      </c>
      <c r="E379" s="28" t="s">
        <v>954</v>
      </c>
      <c r="F379" s="55">
        <v>17.313344999999998</v>
      </c>
      <c r="G379" s="29">
        <v>44652</v>
      </c>
      <c r="H379" s="30">
        <v>44926</v>
      </c>
    </row>
    <row r="380" spans="1:8" x14ac:dyDescent="0.2">
      <c r="A380" s="32">
        <v>510027</v>
      </c>
      <c r="B380" s="27" t="s">
        <v>1357</v>
      </c>
      <c r="C380" s="55">
        <v>43.911000000000001</v>
      </c>
      <c r="D380" s="55">
        <v>19.75995</v>
      </c>
      <c r="E380" s="28" t="s">
        <v>954</v>
      </c>
      <c r="F380" s="55">
        <v>18.3767535</v>
      </c>
      <c r="G380" s="29">
        <v>44652</v>
      </c>
      <c r="H380" s="30">
        <v>44926</v>
      </c>
    </row>
    <row r="381" spans="1:8" x14ac:dyDescent="0.2">
      <c r="A381" s="32">
        <v>510028</v>
      </c>
      <c r="B381" s="27" t="s">
        <v>1354</v>
      </c>
      <c r="C381" s="55">
        <v>43.911000000000001</v>
      </c>
      <c r="D381" s="55">
        <v>19.75995</v>
      </c>
      <c r="E381" s="28" t="s">
        <v>954</v>
      </c>
      <c r="F381" s="55">
        <v>18.3767535</v>
      </c>
      <c r="G381" s="29">
        <v>44652</v>
      </c>
      <c r="H381" s="30">
        <v>44926</v>
      </c>
    </row>
    <row r="382" spans="1:8" x14ac:dyDescent="0.2">
      <c r="A382" s="32">
        <v>510031</v>
      </c>
      <c r="B382" s="27" t="s">
        <v>248</v>
      </c>
      <c r="C382" s="55">
        <v>42.073500000000003</v>
      </c>
      <c r="D382" s="55">
        <v>18.933075000000002</v>
      </c>
      <c r="E382" s="28" t="s">
        <v>954</v>
      </c>
      <c r="F382" s="55">
        <v>17.607759750000003</v>
      </c>
      <c r="G382" s="29">
        <v>44652</v>
      </c>
      <c r="H382" s="30">
        <v>44926</v>
      </c>
    </row>
    <row r="383" spans="1:8" x14ac:dyDescent="0.2">
      <c r="A383" s="32">
        <v>510032</v>
      </c>
      <c r="B383" s="27" t="s">
        <v>249</v>
      </c>
      <c r="C383" s="55">
        <v>42.073500000000003</v>
      </c>
      <c r="D383" s="55">
        <v>18.933075000000002</v>
      </c>
      <c r="E383" s="28" t="s">
        <v>954</v>
      </c>
      <c r="F383" s="55">
        <v>17.607759750000003</v>
      </c>
      <c r="G383" s="29">
        <v>44652</v>
      </c>
      <c r="H383" s="30">
        <v>44926</v>
      </c>
    </row>
    <row r="384" spans="1:8" x14ac:dyDescent="0.2">
      <c r="A384" s="32">
        <v>510033</v>
      </c>
      <c r="B384" s="27" t="s">
        <v>250</v>
      </c>
      <c r="C384" s="55">
        <v>42.073500000000003</v>
      </c>
      <c r="D384" s="55">
        <v>18.933075000000002</v>
      </c>
      <c r="E384" s="28" t="s">
        <v>954</v>
      </c>
      <c r="F384" s="55">
        <v>17.607759750000003</v>
      </c>
      <c r="G384" s="29">
        <v>44652</v>
      </c>
      <c r="H384" s="30">
        <v>44926</v>
      </c>
    </row>
    <row r="385" spans="1:8" x14ac:dyDescent="0.2">
      <c r="A385" s="32">
        <v>510034</v>
      </c>
      <c r="B385" s="27" t="s">
        <v>251</v>
      </c>
      <c r="C385" s="55">
        <v>42.073500000000003</v>
      </c>
      <c r="D385" s="55">
        <v>18.933075000000002</v>
      </c>
      <c r="E385" s="28" t="s">
        <v>954</v>
      </c>
      <c r="F385" s="55">
        <v>17.607759750000003</v>
      </c>
      <c r="G385" s="29">
        <v>44652</v>
      </c>
      <c r="H385" s="30">
        <v>44926</v>
      </c>
    </row>
    <row r="386" spans="1:8" x14ac:dyDescent="0.2">
      <c r="A386" s="32">
        <v>510036</v>
      </c>
      <c r="B386" s="27" t="s">
        <v>252</v>
      </c>
      <c r="C386" s="55">
        <v>42.073500000000003</v>
      </c>
      <c r="D386" s="55">
        <v>18.933075000000002</v>
      </c>
      <c r="E386" s="28" t="s">
        <v>954</v>
      </c>
      <c r="F386" s="55">
        <v>17.607759750000003</v>
      </c>
      <c r="G386" s="29">
        <v>44652</v>
      </c>
      <c r="H386" s="30">
        <v>44926</v>
      </c>
    </row>
    <row r="387" spans="1:8" x14ac:dyDescent="0.2">
      <c r="A387" s="32">
        <v>510037</v>
      </c>
      <c r="B387" s="27" t="s">
        <v>1356</v>
      </c>
      <c r="C387" s="55">
        <v>44.667000000000002</v>
      </c>
      <c r="D387" s="55">
        <v>20.100150000000003</v>
      </c>
      <c r="E387" s="28" t="s">
        <v>954</v>
      </c>
      <c r="F387" s="55">
        <v>18.693139500000004</v>
      </c>
      <c r="G387" s="29">
        <v>44652</v>
      </c>
      <c r="H387" s="30">
        <v>44926</v>
      </c>
    </row>
    <row r="388" spans="1:8" x14ac:dyDescent="0.2">
      <c r="A388" s="32">
        <v>510038</v>
      </c>
      <c r="B388" s="27" t="s">
        <v>1355</v>
      </c>
      <c r="C388" s="55">
        <v>44.667000000000002</v>
      </c>
      <c r="D388" s="55">
        <v>20.100150000000003</v>
      </c>
      <c r="E388" s="28" t="s">
        <v>954</v>
      </c>
      <c r="F388" s="55">
        <v>18.693139500000004</v>
      </c>
      <c r="G388" s="29">
        <v>44652</v>
      </c>
      <c r="H388" s="30">
        <v>44926</v>
      </c>
    </row>
    <row r="389" spans="1:8" x14ac:dyDescent="0.2">
      <c r="A389" s="32">
        <v>510039</v>
      </c>
      <c r="B389" s="27" t="s">
        <v>1350</v>
      </c>
      <c r="C389" s="55">
        <v>26.544000000000004</v>
      </c>
      <c r="D389" s="55">
        <v>11.944800000000003</v>
      </c>
      <c r="E389" s="28" t="s">
        <v>954</v>
      </c>
      <c r="F389" s="55">
        <v>11.108664000000003</v>
      </c>
      <c r="G389" s="29">
        <v>44652</v>
      </c>
      <c r="H389" s="30">
        <v>44926</v>
      </c>
    </row>
    <row r="390" spans="1:8" x14ac:dyDescent="0.2">
      <c r="A390" s="32">
        <v>510040</v>
      </c>
      <c r="B390" s="27" t="s">
        <v>1351</v>
      </c>
      <c r="C390" s="55">
        <v>25.200000000000003</v>
      </c>
      <c r="D390" s="55">
        <v>11.340000000000002</v>
      </c>
      <c r="E390" s="28" t="s">
        <v>954</v>
      </c>
      <c r="F390" s="55">
        <v>10.546200000000002</v>
      </c>
      <c r="G390" s="29">
        <v>44652</v>
      </c>
      <c r="H390" s="30">
        <v>44926</v>
      </c>
    </row>
    <row r="391" spans="1:8" x14ac:dyDescent="0.2">
      <c r="A391" s="32">
        <v>510052</v>
      </c>
      <c r="B391" s="27" t="s">
        <v>253</v>
      </c>
      <c r="C391" s="55">
        <v>60.238500000000002</v>
      </c>
      <c r="D391" s="55">
        <v>27.107325000000003</v>
      </c>
      <c r="E391" s="28" t="s">
        <v>954</v>
      </c>
      <c r="F391" s="55">
        <v>25.209812250000002</v>
      </c>
      <c r="G391" s="29">
        <v>44652</v>
      </c>
      <c r="H391" s="30">
        <v>44926</v>
      </c>
    </row>
    <row r="392" spans="1:8" x14ac:dyDescent="0.2">
      <c r="A392" s="32">
        <v>510053</v>
      </c>
      <c r="B392" s="27" t="s">
        <v>254</v>
      </c>
      <c r="C392" s="55">
        <v>56.889000000000003</v>
      </c>
      <c r="D392" s="55">
        <v>25.600050000000003</v>
      </c>
      <c r="E392" s="28" t="s">
        <v>954</v>
      </c>
      <c r="F392" s="55">
        <v>23.808046500000003</v>
      </c>
      <c r="G392" s="29">
        <v>44652</v>
      </c>
      <c r="H392" s="30">
        <v>44926</v>
      </c>
    </row>
    <row r="393" spans="1:8" x14ac:dyDescent="0.2">
      <c r="A393" s="32">
        <v>510055</v>
      </c>
      <c r="B393" s="27" t="s">
        <v>255</v>
      </c>
      <c r="C393" s="55">
        <v>56.889000000000003</v>
      </c>
      <c r="D393" s="55">
        <v>25.600050000000003</v>
      </c>
      <c r="E393" s="28" t="s">
        <v>954</v>
      </c>
      <c r="F393" s="55">
        <v>23.808046500000003</v>
      </c>
      <c r="G393" s="29">
        <v>44652</v>
      </c>
      <c r="H393" s="30">
        <v>44926</v>
      </c>
    </row>
    <row r="394" spans="1:8" x14ac:dyDescent="0.2">
      <c r="A394" s="32">
        <v>510056</v>
      </c>
      <c r="B394" s="27" t="s">
        <v>256</v>
      </c>
      <c r="C394" s="55">
        <v>59.535000000000004</v>
      </c>
      <c r="D394" s="55">
        <v>26.790750000000003</v>
      </c>
      <c r="E394" s="28" t="s">
        <v>954</v>
      </c>
      <c r="F394" s="55">
        <v>24.915397500000005</v>
      </c>
      <c r="G394" s="29">
        <v>44652</v>
      </c>
      <c r="H394" s="30">
        <v>44926</v>
      </c>
    </row>
    <row r="395" spans="1:8" x14ac:dyDescent="0.2">
      <c r="A395" s="32">
        <v>510057</v>
      </c>
      <c r="B395" s="27" t="s">
        <v>1358</v>
      </c>
      <c r="C395" s="55">
        <v>60.532499999999999</v>
      </c>
      <c r="D395" s="55">
        <v>27.239625</v>
      </c>
      <c r="E395" s="28" t="s">
        <v>954</v>
      </c>
      <c r="F395" s="55">
        <v>25.332851250000001</v>
      </c>
      <c r="G395" s="29">
        <v>44652</v>
      </c>
      <c r="H395" s="30">
        <v>44926</v>
      </c>
    </row>
    <row r="396" spans="1:8" x14ac:dyDescent="0.2">
      <c r="A396" s="32">
        <v>510059</v>
      </c>
      <c r="B396" s="27" t="s">
        <v>257</v>
      </c>
      <c r="C396" s="55">
        <v>68.344500000000011</v>
      </c>
      <c r="D396" s="55">
        <v>30.755025000000007</v>
      </c>
      <c r="E396" s="28" t="s">
        <v>954</v>
      </c>
      <c r="F396" s="55">
        <v>28.602173250000007</v>
      </c>
      <c r="G396" s="29">
        <v>44652</v>
      </c>
      <c r="H396" s="30">
        <v>44926</v>
      </c>
    </row>
    <row r="397" spans="1:8" x14ac:dyDescent="0.2">
      <c r="A397" s="32">
        <v>510060</v>
      </c>
      <c r="B397" s="27" t="s">
        <v>258</v>
      </c>
      <c r="C397" s="55">
        <v>23.35</v>
      </c>
      <c r="D397" s="55">
        <v>10.5075</v>
      </c>
      <c r="E397" s="28" t="s">
        <v>954</v>
      </c>
      <c r="F397" s="55">
        <v>9.7719750000000012</v>
      </c>
      <c r="G397" s="29">
        <v>44652</v>
      </c>
      <c r="H397" s="30">
        <v>44926</v>
      </c>
    </row>
    <row r="398" spans="1:8" x14ac:dyDescent="0.2">
      <c r="A398" s="32">
        <v>510061</v>
      </c>
      <c r="B398" s="27" t="s">
        <v>259</v>
      </c>
      <c r="C398" s="55">
        <v>41.37</v>
      </c>
      <c r="D398" s="55">
        <v>18.616499999999998</v>
      </c>
      <c r="E398" s="28" t="s">
        <v>954</v>
      </c>
      <c r="F398" s="55">
        <v>17.313344999999998</v>
      </c>
      <c r="G398" s="29">
        <v>44652</v>
      </c>
      <c r="H398" s="30">
        <v>44926</v>
      </c>
    </row>
    <row r="399" spans="1:8" x14ac:dyDescent="0.2">
      <c r="A399" s="32">
        <v>510062</v>
      </c>
      <c r="B399" s="27" t="s">
        <v>260</v>
      </c>
      <c r="C399" s="55">
        <v>42.084000000000003</v>
      </c>
      <c r="D399" s="55">
        <v>18.937800000000003</v>
      </c>
      <c r="E399" s="28" t="s">
        <v>954</v>
      </c>
      <c r="F399" s="55">
        <v>17.612154000000004</v>
      </c>
      <c r="G399" s="29">
        <v>44652</v>
      </c>
      <c r="H399" s="30">
        <v>44926</v>
      </c>
    </row>
    <row r="400" spans="1:8" x14ac:dyDescent="0.2">
      <c r="A400" s="32">
        <v>510064</v>
      </c>
      <c r="B400" s="27" t="s">
        <v>261</v>
      </c>
      <c r="C400" s="55">
        <v>42.084000000000003</v>
      </c>
      <c r="D400" s="55">
        <v>18.937800000000003</v>
      </c>
      <c r="E400" s="28" t="s">
        <v>954</v>
      </c>
      <c r="F400" s="55">
        <v>17.612154000000004</v>
      </c>
      <c r="G400" s="29">
        <v>44652</v>
      </c>
      <c r="H400" s="30">
        <v>44926</v>
      </c>
    </row>
    <row r="401" spans="1:8" x14ac:dyDescent="0.2">
      <c r="A401" s="32">
        <v>560005</v>
      </c>
      <c r="B401" s="27" t="s">
        <v>262</v>
      </c>
      <c r="C401" s="55">
        <v>33.35</v>
      </c>
      <c r="D401" s="55">
        <v>15.0075</v>
      </c>
      <c r="E401" s="28" t="s">
        <v>954</v>
      </c>
      <c r="F401" s="55">
        <v>13.956975000000002</v>
      </c>
      <c r="G401" s="29">
        <v>44652</v>
      </c>
      <c r="H401" s="30">
        <v>44926</v>
      </c>
    </row>
    <row r="402" spans="1:8" x14ac:dyDescent="0.2">
      <c r="A402" s="32">
        <v>560007</v>
      </c>
      <c r="B402" s="27" t="s">
        <v>263</v>
      </c>
      <c r="C402" s="55">
        <v>32.299999999999997</v>
      </c>
      <c r="D402" s="55">
        <v>14.534999999999998</v>
      </c>
      <c r="E402" s="28" t="s">
        <v>954</v>
      </c>
      <c r="F402" s="55">
        <v>13.51755</v>
      </c>
      <c r="G402" s="29">
        <v>44652</v>
      </c>
      <c r="H402" s="30">
        <v>44926</v>
      </c>
    </row>
    <row r="403" spans="1:8" x14ac:dyDescent="0.2">
      <c r="A403" s="32">
        <v>560019</v>
      </c>
      <c r="B403" s="27" t="s">
        <v>264</v>
      </c>
      <c r="C403" s="55">
        <v>26.5</v>
      </c>
      <c r="D403" s="55">
        <v>11.925000000000001</v>
      </c>
      <c r="E403" s="28" t="s">
        <v>954</v>
      </c>
      <c r="F403" s="55">
        <v>11.090250000000001</v>
      </c>
      <c r="G403" s="29">
        <v>44652</v>
      </c>
      <c r="H403" s="30">
        <v>44926</v>
      </c>
    </row>
    <row r="404" spans="1:8" x14ac:dyDescent="0.2">
      <c r="A404" s="32">
        <v>560020</v>
      </c>
      <c r="B404" s="27" t="s">
        <v>265</v>
      </c>
      <c r="C404" s="55">
        <v>27.4</v>
      </c>
      <c r="D404" s="55">
        <v>12.33</v>
      </c>
      <c r="E404" s="28" t="s">
        <v>954</v>
      </c>
      <c r="F404" s="55">
        <v>11.466900000000001</v>
      </c>
      <c r="G404" s="29">
        <v>44652</v>
      </c>
      <c r="H404" s="30">
        <v>44926</v>
      </c>
    </row>
    <row r="405" spans="1:8" x14ac:dyDescent="0.2">
      <c r="A405" s="32">
        <v>560022</v>
      </c>
      <c r="B405" s="27" t="s">
        <v>266</v>
      </c>
      <c r="C405" s="55">
        <v>24</v>
      </c>
      <c r="D405" s="55">
        <v>10.8</v>
      </c>
      <c r="E405" s="28" t="s">
        <v>954</v>
      </c>
      <c r="F405" s="55">
        <v>10.044</v>
      </c>
      <c r="G405" s="29">
        <v>44652</v>
      </c>
      <c r="H405" s="30">
        <v>44926</v>
      </c>
    </row>
    <row r="406" spans="1:8" x14ac:dyDescent="0.2">
      <c r="A406" s="32">
        <v>560023</v>
      </c>
      <c r="B406" s="27" t="s">
        <v>267</v>
      </c>
      <c r="C406" s="55">
        <v>39.700000000000003</v>
      </c>
      <c r="D406" s="55">
        <v>17.865000000000002</v>
      </c>
      <c r="E406" s="28" t="s">
        <v>954</v>
      </c>
      <c r="F406" s="55">
        <v>16.614450000000001</v>
      </c>
      <c r="G406" s="29">
        <v>44652</v>
      </c>
      <c r="H406" s="30">
        <v>44926</v>
      </c>
    </row>
    <row r="407" spans="1:8" x14ac:dyDescent="0.2">
      <c r="A407" s="32">
        <v>560024</v>
      </c>
      <c r="B407" s="27" t="s">
        <v>268</v>
      </c>
      <c r="C407" s="55">
        <v>38.299999999999997</v>
      </c>
      <c r="D407" s="55">
        <v>17.234999999999999</v>
      </c>
      <c r="E407" s="28" t="s">
        <v>954</v>
      </c>
      <c r="F407" s="55">
        <v>16.028549999999999</v>
      </c>
      <c r="G407" s="29">
        <v>44652</v>
      </c>
      <c r="H407" s="30">
        <v>44926</v>
      </c>
    </row>
    <row r="408" spans="1:8" x14ac:dyDescent="0.2">
      <c r="A408" s="32">
        <v>560025</v>
      </c>
      <c r="B408" s="27" t="s">
        <v>269</v>
      </c>
      <c r="C408" s="55">
        <v>38.75</v>
      </c>
      <c r="D408" s="55">
        <v>17.4375</v>
      </c>
      <c r="E408" s="28" t="s">
        <v>954</v>
      </c>
      <c r="F408" s="55">
        <v>16.216875000000002</v>
      </c>
      <c r="G408" s="29">
        <v>44652</v>
      </c>
      <c r="H408" s="30">
        <v>44926</v>
      </c>
    </row>
    <row r="409" spans="1:8" x14ac:dyDescent="0.2">
      <c r="A409" s="32">
        <v>560027</v>
      </c>
      <c r="B409" s="27" t="s">
        <v>1047</v>
      </c>
      <c r="C409" s="55">
        <v>49.4</v>
      </c>
      <c r="D409" s="55">
        <v>22.23</v>
      </c>
      <c r="E409" s="28" t="s">
        <v>954</v>
      </c>
      <c r="F409" s="55">
        <v>20.6739</v>
      </c>
      <c r="G409" s="29">
        <v>44652</v>
      </c>
      <c r="H409" s="30">
        <v>44926</v>
      </c>
    </row>
    <row r="410" spans="1:8" x14ac:dyDescent="0.2">
      <c r="A410" s="32">
        <v>560028</v>
      </c>
      <c r="B410" s="27" t="s">
        <v>270</v>
      </c>
      <c r="C410" s="55">
        <v>30.5</v>
      </c>
      <c r="D410" s="55">
        <v>13.725</v>
      </c>
      <c r="E410" s="28" t="s">
        <v>954</v>
      </c>
      <c r="F410" s="55">
        <v>12.764250000000001</v>
      </c>
      <c r="G410" s="29">
        <v>44652</v>
      </c>
      <c r="H410" s="30">
        <v>44926</v>
      </c>
    </row>
    <row r="411" spans="1:8" x14ac:dyDescent="0.2">
      <c r="A411" s="32">
        <v>560029</v>
      </c>
      <c r="B411" s="27" t="s">
        <v>271</v>
      </c>
      <c r="C411" s="55">
        <v>30.5</v>
      </c>
      <c r="D411" s="55">
        <v>13.725</v>
      </c>
      <c r="E411" s="28" t="s">
        <v>954</v>
      </c>
      <c r="F411" s="55">
        <v>12.764250000000001</v>
      </c>
      <c r="G411" s="29">
        <v>44652</v>
      </c>
      <c r="H411" s="30">
        <v>44926</v>
      </c>
    </row>
    <row r="412" spans="1:8" x14ac:dyDescent="0.2">
      <c r="A412" s="32">
        <v>560030</v>
      </c>
      <c r="B412" s="27" t="s">
        <v>272</v>
      </c>
      <c r="C412" s="55">
        <v>38.75</v>
      </c>
      <c r="D412" s="55">
        <v>17.4375</v>
      </c>
      <c r="E412" s="28" t="s">
        <v>954</v>
      </c>
      <c r="F412" s="55">
        <v>16.216875000000002</v>
      </c>
      <c r="G412" s="29">
        <v>44652</v>
      </c>
      <c r="H412" s="30">
        <v>44926</v>
      </c>
    </row>
    <row r="413" spans="1:8" x14ac:dyDescent="0.2">
      <c r="A413" s="32">
        <v>560031</v>
      </c>
      <c r="B413" s="27" t="s">
        <v>273</v>
      </c>
      <c r="C413" s="55">
        <v>36.9</v>
      </c>
      <c r="D413" s="55">
        <v>16.605</v>
      </c>
      <c r="E413" s="28" t="s">
        <v>954</v>
      </c>
      <c r="F413" s="55">
        <v>15.44265</v>
      </c>
      <c r="G413" s="29">
        <v>44652</v>
      </c>
      <c r="H413" s="30">
        <v>44926</v>
      </c>
    </row>
    <row r="414" spans="1:8" x14ac:dyDescent="0.2">
      <c r="A414" s="32">
        <v>560032</v>
      </c>
      <c r="B414" s="27" t="s">
        <v>1044</v>
      </c>
      <c r="C414" s="55">
        <v>49.15</v>
      </c>
      <c r="D414" s="55">
        <v>22.1175</v>
      </c>
      <c r="E414" s="28" t="s">
        <v>954</v>
      </c>
      <c r="F414" s="55">
        <v>20.569275000000001</v>
      </c>
      <c r="G414" s="29">
        <v>44652</v>
      </c>
      <c r="H414" s="30">
        <v>44926</v>
      </c>
    </row>
    <row r="415" spans="1:8" x14ac:dyDescent="0.2">
      <c r="A415" s="32">
        <v>560033</v>
      </c>
      <c r="B415" s="27" t="s">
        <v>1046</v>
      </c>
      <c r="C415" s="55">
        <v>39.5</v>
      </c>
      <c r="D415" s="55">
        <v>17.775000000000002</v>
      </c>
      <c r="E415" s="28" t="s">
        <v>954</v>
      </c>
      <c r="F415" s="55">
        <v>16.530750000000001</v>
      </c>
      <c r="G415" s="29">
        <v>44652</v>
      </c>
      <c r="H415" s="30">
        <v>44926</v>
      </c>
    </row>
    <row r="416" spans="1:8" x14ac:dyDescent="0.2">
      <c r="A416" s="32">
        <v>560034</v>
      </c>
      <c r="B416" s="27" t="s">
        <v>274</v>
      </c>
      <c r="C416" s="55">
        <v>40.25</v>
      </c>
      <c r="D416" s="55">
        <v>18.112500000000001</v>
      </c>
      <c r="E416" s="28" t="s">
        <v>954</v>
      </c>
      <c r="F416" s="55">
        <v>16.844625000000001</v>
      </c>
      <c r="G416" s="29">
        <v>44652</v>
      </c>
      <c r="H416" s="30">
        <v>44926</v>
      </c>
    </row>
    <row r="417" spans="1:8" x14ac:dyDescent="0.2">
      <c r="A417" s="32">
        <v>560036</v>
      </c>
      <c r="B417" s="27" t="s">
        <v>275</v>
      </c>
      <c r="C417" s="55">
        <v>29.7</v>
      </c>
      <c r="D417" s="55">
        <v>13.365</v>
      </c>
      <c r="E417" s="28" t="s">
        <v>954</v>
      </c>
      <c r="F417" s="55">
        <v>12.429450000000001</v>
      </c>
      <c r="G417" s="29">
        <v>44652</v>
      </c>
      <c r="H417" s="30">
        <v>44926</v>
      </c>
    </row>
    <row r="418" spans="1:8" x14ac:dyDescent="0.2">
      <c r="A418" s="32">
        <v>560043</v>
      </c>
      <c r="B418" s="27" t="s">
        <v>276</v>
      </c>
      <c r="C418" s="55">
        <v>57.5</v>
      </c>
      <c r="D418" s="55">
        <v>25.875</v>
      </c>
      <c r="E418" s="28" t="s">
        <v>8</v>
      </c>
      <c r="F418" s="55"/>
      <c r="G418" s="29">
        <v>44652</v>
      </c>
      <c r="H418" s="30">
        <v>44926</v>
      </c>
    </row>
    <row r="419" spans="1:8" x14ac:dyDescent="0.2">
      <c r="A419" s="32">
        <v>560045</v>
      </c>
      <c r="B419" s="27" t="s">
        <v>277</v>
      </c>
      <c r="C419" s="55">
        <v>60.79</v>
      </c>
      <c r="D419" s="55">
        <v>27.355499999999999</v>
      </c>
      <c r="E419" s="28" t="s">
        <v>8</v>
      </c>
      <c r="F419" s="55"/>
      <c r="G419" s="29">
        <v>44652</v>
      </c>
      <c r="H419" s="30">
        <v>44926</v>
      </c>
    </row>
    <row r="420" spans="1:8" x14ac:dyDescent="0.2">
      <c r="A420" s="32">
        <v>560047</v>
      </c>
      <c r="B420" s="27" t="s">
        <v>278</v>
      </c>
      <c r="C420" s="55">
        <v>60</v>
      </c>
      <c r="D420" s="55">
        <v>27</v>
      </c>
      <c r="E420" s="28" t="s">
        <v>8</v>
      </c>
      <c r="F420" s="55"/>
      <c r="G420" s="29">
        <v>44652</v>
      </c>
      <c r="H420" s="30">
        <v>44926</v>
      </c>
    </row>
    <row r="421" spans="1:8" x14ac:dyDescent="0.2">
      <c r="A421" s="32">
        <v>560048</v>
      </c>
      <c r="B421" s="27" t="s">
        <v>1043</v>
      </c>
      <c r="C421" s="55">
        <v>64.75</v>
      </c>
      <c r="D421" s="55">
        <v>29.137499999999999</v>
      </c>
      <c r="E421" s="28" t="s">
        <v>8</v>
      </c>
      <c r="F421" s="55"/>
      <c r="G421" s="29">
        <v>44652</v>
      </c>
      <c r="H421" s="30">
        <v>44926</v>
      </c>
    </row>
    <row r="422" spans="1:8" x14ac:dyDescent="0.2">
      <c r="A422" s="32">
        <v>560051</v>
      </c>
      <c r="B422" s="27" t="s">
        <v>1050</v>
      </c>
      <c r="C422" s="55">
        <v>31</v>
      </c>
      <c r="D422" s="55">
        <v>13.950000000000001</v>
      </c>
      <c r="E422" s="28" t="s">
        <v>954</v>
      </c>
      <c r="F422" s="55">
        <v>12.973500000000001</v>
      </c>
      <c r="G422" s="29">
        <v>44652</v>
      </c>
      <c r="H422" s="30">
        <v>44926</v>
      </c>
    </row>
    <row r="423" spans="1:8" x14ac:dyDescent="0.2">
      <c r="A423" s="32">
        <v>560052</v>
      </c>
      <c r="B423" s="27" t="s">
        <v>279</v>
      </c>
      <c r="C423" s="55">
        <v>65</v>
      </c>
      <c r="D423" s="55">
        <v>29.25</v>
      </c>
      <c r="E423" s="28" t="s">
        <v>954</v>
      </c>
      <c r="F423" s="55">
        <v>27.202500000000001</v>
      </c>
      <c r="G423" s="29">
        <v>44652</v>
      </c>
      <c r="H423" s="30">
        <v>44926</v>
      </c>
    </row>
    <row r="424" spans="1:8" x14ac:dyDescent="0.2">
      <c r="A424" s="32">
        <v>560053</v>
      </c>
      <c r="B424" s="27" t="s">
        <v>280</v>
      </c>
      <c r="C424" s="55">
        <v>74.70750000000001</v>
      </c>
      <c r="D424" s="55">
        <v>33.618375000000007</v>
      </c>
      <c r="E424" s="28" t="s">
        <v>954</v>
      </c>
      <c r="F424" s="55">
        <v>31.265088750000007</v>
      </c>
      <c r="G424" s="29">
        <v>44652</v>
      </c>
      <c r="H424" s="30">
        <v>44926</v>
      </c>
    </row>
    <row r="425" spans="1:8" x14ac:dyDescent="0.2">
      <c r="A425" s="32">
        <v>560056</v>
      </c>
      <c r="B425" s="27" t="s">
        <v>1048</v>
      </c>
      <c r="C425" s="55">
        <v>42.2</v>
      </c>
      <c r="D425" s="55">
        <v>18.990000000000002</v>
      </c>
      <c r="E425" s="28" t="s">
        <v>954</v>
      </c>
      <c r="F425" s="55">
        <v>17.660700000000002</v>
      </c>
      <c r="G425" s="29">
        <v>44652</v>
      </c>
      <c r="H425" s="30">
        <v>44926</v>
      </c>
    </row>
    <row r="426" spans="1:8" x14ac:dyDescent="0.2">
      <c r="A426" s="32">
        <v>560058</v>
      </c>
      <c r="B426" s="27" t="s">
        <v>1048</v>
      </c>
      <c r="C426" s="55">
        <v>47.3</v>
      </c>
      <c r="D426" s="55">
        <v>21.285</v>
      </c>
      <c r="E426" s="28" t="s">
        <v>954</v>
      </c>
      <c r="F426" s="55">
        <v>19.79505</v>
      </c>
      <c r="G426" s="29">
        <v>44652</v>
      </c>
      <c r="H426" s="30">
        <v>44926</v>
      </c>
    </row>
    <row r="427" spans="1:8" x14ac:dyDescent="0.2">
      <c r="A427" s="32">
        <v>560059</v>
      </c>
      <c r="B427" s="27" t="s">
        <v>1049</v>
      </c>
      <c r="C427" s="55">
        <v>42.1</v>
      </c>
      <c r="D427" s="55">
        <v>18.945</v>
      </c>
      <c r="E427" s="28" t="s">
        <v>954</v>
      </c>
      <c r="F427" s="55">
        <v>17.618850000000002</v>
      </c>
      <c r="G427" s="29">
        <v>44652</v>
      </c>
      <c r="H427" s="30">
        <v>44926</v>
      </c>
    </row>
    <row r="428" spans="1:8" x14ac:dyDescent="0.2">
      <c r="A428" s="32">
        <v>560066</v>
      </c>
      <c r="B428" s="27" t="s">
        <v>1045</v>
      </c>
      <c r="C428" s="55">
        <v>48.15</v>
      </c>
      <c r="D428" s="55">
        <v>21.6675</v>
      </c>
      <c r="E428" s="28" t="s">
        <v>954</v>
      </c>
      <c r="F428" s="55">
        <v>20.150775000000003</v>
      </c>
      <c r="G428" s="29">
        <v>44652</v>
      </c>
      <c r="H428" s="30">
        <v>44926</v>
      </c>
    </row>
    <row r="429" spans="1:8" x14ac:dyDescent="0.2">
      <c r="A429" s="32">
        <v>560205</v>
      </c>
      <c r="B429" s="27" t="s">
        <v>281</v>
      </c>
      <c r="C429" s="55">
        <v>37.43</v>
      </c>
      <c r="D429" s="55">
        <v>16.843499999999999</v>
      </c>
      <c r="E429" s="28" t="s">
        <v>954</v>
      </c>
      <c r="F429" s="55">
        <v>15.664455</v>
      </c>
      <c r="G429" s="29">
        <v>44652</v>
      </c>
      <c r="H429" s="30">
        <v>44926</v>
      </c>
    </row>
    <row r="430" spans="1:8" x14ac:dyDescent="0.2">
      <c r="A430" s="32">
        <v>560207</v>
      </c>
      <c r="B430" s="27" t="s">
        <v>282</v>
      </c>
      <c r="C430" s="55">
        <v>37.82</v>
      </c>
      <c r="D430" s="55">
        <v>17.019000000000002</v>
      </c>
      <c r="E430" s="28" t="s">
        <v>954</v>
      </c>
      <c r="F430" s="55">
        <v>15.827670000000003</v>
      </c>
      <c r="G430" s="29">
        <v>44652</v>
      </c>
      <c r="H430" s="30">
        <v>44926</v>
      </c>
    </row>
    <row r="431" spans="1:8" x14ac:dyDescent="0.2">
      <c r="A431" s="32">
        <v>560219</v>
      </c>
      <c r="B431" s="27" t="s">
        <v>283</v>
      </c>
      <c r="C431" s="55">
        <v>34.25</v>
      </c>
      <c r="D431" s="55">
        <v>15.4125</v>
      </c>
      <c r="E431" s="28" t="s">
        <v>954</v>
      </c>
      <c r="F431" s="55">
        <v>14.333625</v>
      </c>
      <c r="G431" s="29">
        <v>44652</v>
      </c>
      <c r="H431" s="30">
        <v>44926</v>
      </c>
    </row>
    <row r="432" spans="1:8" x14ac:dyDescent="0.2">
      <c r="A432" s="32">
        <v>560220</v>
      </c>
      <c r="B432" s="27" t="s">
        <v>284</v>
      </c>
      <c r="C432" s="55">
        <v>31.5</v>
      </c>
      <c r="D432" s="55">
        <v>14.175000000000001</v>
      </c>
      <c r="E432" s="28" t="s">
        <v>954</v>
      </c>
      <c r="F432" s="55">
        <v>13.182750000000002</v>
      </c>
      <c r="G432" s="29">
        <v>44652</v>
      </c>
      <c r="H432" s="30">
        <v>44926</v>
      </c>
    </row>
    <row r="433" spans="1:8" x14ac:dyDescent="0.2">
      <c r="A433" s="32">
        <v>560223</v>
      </c>
      <c r="B433" s="27" t="s">
        <v>285</v>
      </c>
      <c r="C433" s="55">
        <v>55.114500000000007</v>
      </c>
      <c r="D433" s="55">
        <v>24.801525000000005</v>
      </c>
      <c r="E433" s="28" t="s">
        <v>954</v>
      </c>
      <c r="F433" s="55">
        <v>23.065418250000008</v>
      </c>
      <c r="G433" s="29">
        <v>44652</v>
      </c>
      <c r="H433" s="30">
        <v>44926</v>
      </c>
    </row>
    <row r="434" spans="1:8" x14ac:dyDescent="0.2">
      <c r="A434" s="32">
        <v>560224</v>
      </c>
      <c r="B434" s="27" t="s">
        <v>286</v>
      </c>
      <c r="C434" s="55">
        <v>55.114500000000007</v>
      </c>
      <c r="D434" s="55">
        <v>24.801525000000005</v>
      </c>
      <c r="E434" s="28" t="s">
        <v>954</v>
      </c>
      <c r="F434" s="55">
        <v>23.065418250000008</v>
      </c>
      <c r="G434" s="29">
        <v>44652</v>
      </c>
      <c r="H434" s="30">
        <v>44926</v>
      </c>
    </row>
    <row r="435" spans="1:8" x14ac:dyDescent="0.2">
      <c r="A435" s="32">
        <v>560228</v>
      </c>
      <c r="B435" s="27" t="s">
        <v>287</v>
      </c>
      <c r="C435" s="55">
        <v>36</v>
      </c>
      <c r="D435" s="55">
        <v>16.2</v>
      </c>
      <c r="E435" s="28" t="s">
        <v>954</v>
      </c>
      <c r="F435" s="55">
        <v>15.066000000000001</v>
      </c>
      <c r="G435" s="29">
        <v>44652</v>
      </c>
      <c r="H435" s="30">
        <v>44926</v>
      </c>
    </row>
    <row r="436" spans="1:8" x14ac:dyDescent="0.2">
      <c r="A436" s="32">
        <v>560229</v>
      </c>
      <c r="B436" s="27" t="s">
        <v>288</v>
      </c>
      <c r="C436" s="55">
        <v>35.301000000000002</v>
      </c>
      <c r="D436" s="55">
        <v>15.885450000000001</v>
      </c>
      <c r="E436" s="28" t="s">
        <v>954</v>
      </c>
      <c r="F436" s="55">
        <v>14.773468500000002</v>
      </c>
      <c r="G436" s="29">
        <v>44652</v>
      </c>
      <c r="H436" s="30">
        <v>44926</v>
      </c>
    </row>
    <row r="437" spans="1:8" x14ac:dyDescent="0.2">
      <c r="A437" s="32">
        <v>560230</v>
      </c>
      <c r="B437" s="27" t="s">
        <v>289</v>
      </c>
      <c r="C437" s="55">
        <v>40.750500000000002</v>
      </c>
      <c r="D437" s="55">
        <v>18.337725000000002</v>
      </c>
      <c r="E437" s="28" t="s">
        <v>954</v>
      </c>
      <c r="F437" s="55">
        <v>17.054084250000002</v>
      </c>
      <c r="G437" s="29">
        <v>44652</v>
      </c>
      <c r="H437" s="30">
        <v>44926</v>
      </c>
    </row>
    <row r="438" spans="1:8" x14ac:dyDescent="0.2">
      <c r="A438" s="32">
        <v>560231</v>
      </c>
      <c r="B438" s="27" t="s">
        <v>290</v>
      </c>
      <c r="C438" s="55">
        <v>40.771500000000003</v>
      </c>
      <c r="D438" s="55">
        <v>18.347175000000004</v>
      </c>
      <c r="E438" s="28" t="s">
        <v>954</v>
      </c>
      <c r="F438" s="55">
        <v>17.062872750000004</v>
      </c>
      <c r="G438" s="29">
        <v>44652</v>
      </c>
      <c r="H438" s="30">
        <v>44926</v>
      </c>
    </row>
    <row r="439" spans="1:8" x14ac:dyDescent="0.2">
      <c r="A439" s="32">
        <v>560232</v>
      </c>
      <c r="B439" s="27" t="s">
        <v>291</v>
      </c>
      <c r="C439" s="55">
        <v>58.390500000000003</v>
      </c>
      <c r="D439" s="55">
        <v>26.275725000000001</v>
      </c>
      <c r="E439" s="28" t="s">
        <v>954</v>
      </c>
      <c r="F439" s="55">
        <v>24.436424250000002</v>
      </c>
      <c r="G439" s="29">
        <v>44652</v>
      </c>
      <c r="H439" s="30">
        <v>44926</v>
      </c>
    </row>
    <row r="440" spans="1:8" x14ac:dyDescent="0.2">
      <c r="A440" s="32">
        <v>560233</v>
      </c>
      <c r="B440" s="27" t="s">
        <v>292</v>
      </c>
      <c r="C440" s="55">
        <v>58.390500000000003</v>
      </c>
      <c r="D440" s="55">
        <v>26.275725000000001</v>
      </c>
      <c r="E440" s="28" t="s">
        <v>954</v>
      </c>
      <c r="F440" s="55">
        <v>24.436424250000002</v>
      </c>
      <c r="G440" s="29">
        <v>44652</v>
      </c>
      <c r="H440" s="30">
        <v>44926</v>
      </c>
    </row>
    <row r="441" spans="1:8" x14ac:dyDescent="0.2">
      <c r="A441" s="32">
        <v>560238</v>
      </c>
      <c r="B441" s="27" t="s">
        <v>1274</v>
      </c>
      <c r="C441" s="55">
        <v>220.5</v>
      </c>
      <c r="D441" s="55">
        <v>99.225000000000009</v>
      </c>
      <c r="E441" s="28"/>
      <c r="F441" s="55">
        <v>92.279250000000019</v>
      </c>
      <c r="G441" s="29">
        <v>44652</v>
      </c>
      <c r="H441" s="30">
        <v>44926</v>
      </c>
    </row>
    <row r="442" spans="1:8" x14ac:dyDescent="0.2">
      <c r="A442" s="32">
        <v>560243</v>
      </c>
      <c r="B442" s="27" t="s">
        <v>293</v>
      </c>
      <c r="C442" s="55">
        <v>54.5</v>
      </c>
      <c r="D442" s="55">
        <v>24.525000000000002</v>
      </c>
      <c r="E442" s="28" t="s">
        <v>8</v>
      </c>
      <c r="F442" s="55"/>
      <c r="G442" s="29">
        <v>44652</v>
      </c>
      <c r="H442" s="30">
        <v>44926</v>
      </c>
    </row>
    <row r="443" spans="1:8" x14ac:dyDescent="0.2">
      <c r="A443" s="32">
        <v>560244</v>
      </c>
      <c r="B443" s="27" t="s">
        <v>294</v>
      </c>
      <c r="C443" s="55">
        <v>54.25</v>
      </c>
      <c r="D443" s="55">
        <v>24.412500000000001</v>
      </c>
      <c r="E443" s="28" t="s">
        <v>8</v>
      </c>
      <c r="F443" s="55"/>
      <c r="G443" s="29">
        <v>44652</v>
      </c>
      <c r="H443" s="30">
        <v>44926</v>
      </c>
    </row>
    <row r="444" spans="1:8" x14ac:dyDescent="0.2">
      <c r="A444" s="32">
        <v>560245</v>
      </c>
      <c r="B444" s="27" t="s">
        <v>295</v>
      </c>
      <c r="C444" s="55">
        <v>59</v>
      </c>
      <c r="D444" s="55">
        <v>26.55</v>
      </c>
      <c r="E444" s="28" t="s">
        <v>8</v>
      </c>
      <c r="F444" s="55"/>
      <c r="G444" s="29">
        <v>44652</v>
      </c>
      <c r="H444" s="30">
        <v>44926</v>
      </c>
    </row>
    <row r="445" spans="1:8" x14ac:dyDescent="0.2">
      <c r="A445" s="32">
        <v>560246</v>
      </c>
      <c r="B445" s="27" t="s">
        <v>1288</v>
      </c>
      <c r="C445" s="55">
        <v>61</v>
      </c>
      <c r="D445" s="55">
        <v>27.45</v>
      </c>
      <c r="E445" s="28" t="s">
        <v>8</v>
      </c>
      <c r="F445" s="55"/>
      <c r="G445" s="29">
        <v>44652</v>
      </c>
      <c r="H445" s="30">
        <v>44926</v>
      </c>
    </row>
    <row r="446" spans="1:8" x14ac:dyDescent="0.2">
      <c r="A446" s="32">
        <v>560247</v>
      </c>
      <c r="B446" s="27" t="s">
        <v>296</v>
      </c>
      <c r="C446" s="55">
        <v>55.25</v>
      </c>
      <c r="D446" s="55">
        <v>24.862500000000001</v>
      </c>
      <c r="E446" s="28" t="s">
        <v>8</v>
      </c>
      <c r="F446" s="55"/>
      <c r="G446" s="29">
        <v>44652</v>
      </c>
      <c r="H446" s="30">
        <v>44926</v>
      </c>
    </row>
    <row r="447" spans="1:8" x14ac:dyDescent="0.2">
      <c r="A447" s="32">
        <v>560248</v>
      </c>
      <c r="B447" s="27" t="s">
        <v>297</v>
      </c>
      <c r="C447" s="55">
        <v>56.5</v>
      </c>
      <c r="D447" s="55">
        <v>25.425000000000001</v>
      </c>
      <c r="E447" s="28" t="s">
        <v>8</v>
      </c>
      <c r="F447" s="55"/>
      <c r="G447" s="29">
        <v>44652</v>
      </c>
      <c r="H447" s="30">
        <v>44926</v>
      </c>
    </row>
    <row r="448" spans="1:8" x14ac:dyDescent="0.2">
      <c r="A448" s="32">
        <v>560249</v>
      </c>
      <c r="B448" s="27" t="s">
        <v>298</v>
      </c>
      <c r="C448" s="55">
        <v>64</v>
      </c>
      <c r="D448" s="55">
        <v>28.8</v>
      </c>
      <c r="E448" s="28" t="s">
        <v>8</v>
      </c>
      <c r="F448" s="55"/>
      <c r="G448" s="29">
        <v>44652</v>
      </c>
      <c r="H448" s="30">
        <v>44926</v>
      </c>
    </row>
    <row r="449" spans="1:8" x14ac:dyDescent="0.2">
      <c r="A449" s="32">
        <v>560250</v>
      </c>
      <c r="B449" s="27" t="s">
        <v>299</v>
      </c>
      <c r="C449" s="55">
        <v>60</v>
      </c>
      <c r="D449" s="55">
        <v>27</v>
      </c>
      <c r="E449" s="28" t="s">
        <v>8</v>
      </c>
      <c r="F449" s="55"/>
      <c r="G449" s="29">
        <v>44652</v>
      </c>
      <c r="H449" s="30">
        <v>44926</v>
      </c>
    </row>
    <row r="450" spans="1:8" x14ac:dyDescent="0.2">
      <c r="A450" s="32">
        <v>560253</v>
      </c>
      <c r="B450" s="27" t="s">
        <v>300</v>
      </c>
      <c r="C450" s="55">
        <v>54.243000000000002</v>
      </c>
      <c r="D450" s="55">
        <v>24.40935</v>
      </c>
      <c r="E450" s="28" t="s">
        <v>954</v>
      </c>
      <c r="F450" s="55">
        <v>22.700695500000002</v>
      </c>
      <c r="G450" s="29">
        <v>44652</v>
      </c>
      <c r="H450" s="30">
        <v>44926</v>
      </c>
    </row>
    <row r="451" spans="1:8" x14ac:dyDescent="0.2">
      <c r="A451" s="32">
        <v>560254</v>
      </c>
      <c r="B451" s="27" t="s">
        <v>301</v>
      </c>
      <c r="C451" s="55">
        <v>54.243000000000002</v>
      </c>
      <c r="D451" s="55">
        <v>24.40935</v>
      </c>
      <c r="E451" s="28" t="s">
        <v>954</v>
      </c>
      <c r="F451" s="55">
        <v>22.700695500000002</v>
      </c>
      <c r="G451" s="29">
        <v>44652</v>
      </c>
      <c r="H451" s="30">
        <v>44926</v>
      </c>
    </row>
    <row r="452" spans="1:8" x14ac:dyDescent="0.2">
      <c r="A452" s="32">
        <v>560255</v>
      </c>
      <c r="B452" s="27" t="s">
        <v>302</v>
      </c>
      <c r="C452" s="55">
        <v>51.5</v>
      </c>
      <c r="D452" s="55">
        <v>23.175000000000001</v>
      </c>
      <c r="E452" s="28" t="s">
        <v>954</v>
      </c>
      <c r="F452" s="55">
        <v>21.552750000000003</v>
      </c>
      <c r="G452" s="29">
        <v>44652</v>
      </c>
      <c r="H452" s="30">
        <v>44926</v>
      </c>
    </row>
    <row r="453" spans="1:8" x14ac:dyDescent="0.2">
      <c r="A453" s="32">
        <v>560258</v>
      </c>
      <c r="B453" s="27" t="s">
        <v>306</v>
      </c>
      <c r="C453" s="55">
        <v>50</v>
      </c>
      <c r="D453" s="55">
        <v>22.5</v>
      </c>
      <c r="E453" s="28" t="s">
        <v>954</v>
      </c>
      <c r="F453" s="55">
        <v>20.925000000000001</v>
      </c>
      <c r="G453" s="29">
        <v>44652</v>
      </c>
      <c r="H453" s="30">
        <v>44926</v>
      </c>
    </row>
    <row r="454" spans="1:8" x14ac:dyDescent="0.2">
      <c r="A454" s="32">
        <v>560259</v>
      </c>
      <c r="B454" s="27" t="s">
        <v>303</v>
      </c>
      <c r="C454" s="55">
        <v>44.5</v>
      </c>
      <c r="D454" s="55">
        <v>20.025000000000002</v>
      </c>
      <c r="E454" s="28" t="s">
        <v>954</v>
      </c>
      <c r="F454" s="55">
        <v>18.623250000000002</v>
      </c>
      <c r="G454" s="29">
        <v>44652</v>
      </c>
      <c r="H454" s="30">
        <v>44926</v>
      </c>
    </row>
    <row r="455" spans="1:8" x14ac:dyDescent="0.2">
      <c r="A455" s="32">
        <v>560260</v>
      </c>
      <c r="B455" s="27" t="s">
        <v>304</v>
      </c>
      <c r="C455" s="55">
        <v>61.75</v>
      </c>
      <c r="D455" s="55">
        <v>27.787500000000001</v>
      </c>
      <c r="E455" s="28" t="s">
        <v>954</v>
      </c>
      <c r="F455" s="55">
        <v>25.842375000000004</v>
      </c>
      <c r="G455" s="29">
        <v>44652</v>
      </c>
      <c r="H455" s="30">
        <v>44926</v>
      </c>
    </row>
    <row r="456" spans="1:8" x14ac:dyDescent="0.2">
      <c r="A456" s="32">
        <v>560261</v>
      </c>
      <c r="B456" s="27" t="s">
        <v>305</v>
      </c>
      <c r="C456" s="55">
        <v>65.5</v>
      </c>
      <c r="D456" s="55">
        <v>29.475000000000001</v>
      </c>
      <c r="E456" s="28" t="s">
        <v>954</v>
      </c>
      <c r="F456" s="55">
        <v>27.411750000000001</v>
      </c>
      <c r="G456" s="29">
        <v>44652</v>
      </c>
      <c r="H456" s="30">
        <v>44926</v>
      </c>
    </row>
    <row r="457" spans="1:8" x14ac:dyDescent="0.2">
      <c r="A457" s="32">
        <v>560262</v>
      </c>
      <c r="B457" s="27" t="s">
        <v>306</v>
      </c>
      <c r="C457" s="55">
        <v>48.2</v>
      </c>
      <c r="D457" s="55">
        <v>21.69</v>
      </c>
      <c r="E457" s="28" t="s">
        <v>954</v>
      </c>
      <c r="F457" s="55">
        <v>20.171700000000001</v>
      </c>
      <c r="G457" s="29">
        <v>44652</v>
      </c>
      <c r="H457" s="30">
        <v>44926</v>
      </c>
    </row>
    <row r="458" spans="1:8" x14ac:dyDescent="0.2">
      <c r="A458" s="32">
        <v>560265</v>
      </c>
      <c r="B458" s="27" t="s">
        <v>1280</v>
      </c>
      <c r="C458" s="55">
        <v>97</v>
      </c>
      <c r="D458" s="55">
        <v>43.65</v>
      </c>
      <c r="E458" s="28" t="s">
        <v>8</v>
      </c>
      <c r="F458" s="55"/>
      <c r="G458" s="29">
        <v>44652</v>
      </c>
      <c r="H458" s="30">
        <v>44926</v>
      </c>
    </row>
    <row r="459" spans="1:8" x14ac:dyDescent="0.2">
      <c r="A459" s="32">
        <v>560267</v>
      </c>
      <c r="B459" s="27" t="s">
        <v>1289</v>
      </c>
      <c r="C459" s="55">
        <v>94</v>
      </c>
      <c r="D459" s="55">
        <v>42.300000000000004</v>
      </c>
      <c r="E459" s="28" t="s">
        <v>8</v>
      </c>
      <c r="F459" s="55"/>
      <c r="G459" s="29">
        <v>44652</v>
      </c>
      <c r="H459" s="30">
        <v>44926</v>
      </c>
    </row>
    <row r="460" spans="1:8" x14ac:dyDescent="0.2">
      <c r="A460" s="32">
        <v>560268</v>
      </c>
      <c r="B460" s="27" t="s">
        <v>1287</v>
      </c>
      <c r="C460" s="55">
        <v>96</v>
      </c>
      <c r="D460" s="55">
        <v>43.2</v>
      </c>
      <c r="E460" s="28" t="s">
        <v>8</v>
      </c>
      <c r="F460" s="55"/>
      <c r="G460" s="29">
        <v>44652</v>
      </c>
      <c r="H460" s="30">
        <v>44926</v>
      </c>
    </row>
    <row r="461" spans="1:8" x14ac:dyDescent="0.2">
      <c r="A461" s="32">
        <v>560269</v>
      </c>
      <c r="B461" s="27" t="s">
        <v>307</v>
      </c>
      <c r="C461" s="55">
        <v>96</v>
      </c>
      <c r="D461" s="55">
        <v>43.2</v>
      </c>
      <c r="E461" s="28" t="s">
        <v>8</v>
      </c>
      <c r="F461" s="55"/>
      <c r="G461" s="29">
        <v>44652</v>
      </c>
      <c r="H461" s="30">
        <v>44926</v>
      </c>
    </row>
    <row r="462" spans="1:8" x14ac:dyDescent="0.2">
      <c r="A462" s="32">
        <v>560270</v>
      </c>
      <c r="B462" s="27" t="s">
        <v>308</v>
      </c>
      <c r="C462" s="55">
        <v>96</v>
      </c>
      <c r="D462" s="55">
        <v>43.2</v>
      </c>
      <c r="E462" s="28" t="s">
        <v>8</v>
      </c>
      <c r="F462" s="55"/>
      <c r="G462" s="29">
        <v>44652</v>
      </c>
      <c r="H462" s="30">
        <v>44926</v>
      </c>
    </row>
    <row r="463" spans="1:8" x14ac:dyDescent="0.2">
      <c r="A463" s="32">
        <v>560273</v>
      </c>
      <c r="B463" s="27" t="s">
        <v>1282</v>
      </c>
      <c r="C463" s="55">
        <v>94</v>
      </c>
      <c r="D463" s="55">
        <v>42.300000000000004</v>
      </c>
      <c r="E463" s="28" t="s">
        <v>8</v>
      </c>
      <c r="F463" s="55"/>
      <c r="G463" s="29">
        <v>44652</v>
      </c>
      <c r="H463" s="30">
        <v>44926</v>
      </c>
    </row>
    <row r="464" spans="1:8" x14ac:dyDescent="0.2">
      <c r="A464" s="32">
        <v>560274</v>
      </c>
      <c r="B464" s="27" t="s">
        <v>1281</v>
      </c>
      <c r="C464" s="55">
        <v>94</v>
      </c>
      <c r="D464" s="55">
        <v>42.300000000000004</v>
      </c>
      <c r="E464" s="28" t="s">
        <v>8</v>
      </c>
      <c r="F464" s="55"/>
      <c r="G464" s="29">
        <v>44652</v>
      </c>
      <c r="H464" s="30">
        <v>44926</v>
      </c>
    </row>
    <row r="465" spans="1:8" x14ac:dyDescent="0.2">
      <c r="A465" s="32">
        <v>560275</v>
      </c>
      <c r="B465" s="27" t="s">
        <v>1286</v>
      </c>
      <c r="C465" s="55">
        <v>91</v>
      </c>
      <c r="D465" s="55">
        <v>40.950000000000003</v>
      </c>
      <c r="E465" s="28" t="s">
        <v>8</v>
      </c>
      <c r="F465" s="55"/>
      <c r="G465" s="29">
        <v>44652</v>
      </c>
      <c r="H465" s="30">
        <v>44926</v>
      </c>
    </row>
    <row r="466" spans="1:8" x14ac:dyDescent="0.2">
      <c r="A466" s="32">
        <v>560276</v>
      </c>
      <c r="B466" s="27" t="s">
        <v>1285</v>
      </c>
      <c r="C466" s="55">
        <v>91</v>
      </c>
      <c r="D466" s="55">
        <v>40.950000000000003</v>
      </c>
      <c r="E466" s="28" t="s">
        <v>8</v>
      </c>
      <c r="F466" s="55"/>
      <c r="G466" s="29">
        <v>44652</v>
      </c>
      <c r="H466" s="30">
        <v>44926</v>
      </c>
    </row>
    <row r="467" spans="1:8" x14ac:dyDescent="0.2">
      <c r="A467" s="32">
        <v>560277</v>
      </c>
      <c r="B467" s="27" t="s">
        <v>1294</v>
      </c>
      <c r="C467" s="55">
        <v>86.646000000000001</v>
      </c>
      <c r="D467" s="55">
        <v>38.990700000000004</v>
      </c>
      <c r="E467" s="28" t="s">
        <v>8</v>
      </c>
      <c r="F467" s="55"/>
      <c r="G467" s="29">
        <v>44652</v>
      </c>
      <c r="H467" s="30">
        <v>44926</v>
      </c>
    </row>
    <row r="468" spans="1:8" x14ac:dyDescent="0.2">
      <c r="A468" s="32">
        <v>560278</v>
      </c>
      <c r="B468" s="27" t="s">
        <v>1291</v>
      </c>
      <c r="C468" s="55">
        <v>93</v>
      </c>
      <c r="D468" s="55">
        <v>41.85</v>
      </c>
      <c r="E468" s="28" t="s">
        <v>8</v>
      </c>
      <c r="F468" s="55"/>
      <c r="G468" s="29">
        <v>44652</v>
      </c>
      <c r="H468" s="30">
        <v>44926</v>
      </c>
    </row>
    <row r="469" spans="1:8" x14ac:dyDescent="0.2">
      <c r="A469" s="32">
        <v>560279</v>
      </c>
      <c r="B469" s="27" t="s">
        <v>309</v>
      </c>
      <c r="C469" s="55">
        <v>86.635500000000008</v>
      </c>
      <c r="D469" s="55">
        <v>38.985975000000003</v>
      </c>
      <c r="E469" s="28" t="s">
        <v>8</v>
      </c>
      <c r="F469" s="55"/>
      <c r="G469" s="29">
        <v>44652</v>
      </c>
      <c r="H469" s="30">
        <v>44926</v>
      </c>
    </row>
    <row r="470" spans="1:8" x14ac:dyDescent="0.2">
      <c r="A470" s="32">
        <v>560280</v>
      </c>
      <c r="B470" s="27" t="s">
        <v>310</v>
      </c>
      <c r="C470" s="55">
        <v>92</v>
      </c>
      <c r="D470" s="55">
        <v>41.4</v>
      </c>
      <c r="E470" s="28" t="s">
        <v>8</v>
      </c>
      <c r="F470" s="55"/>
      <c r="G470" s="29">
        <v>44652</v>
      </c>
      <c r="H470" s="30">
        <v>44926</v>
      </c>
    </row>
    <row r="471" spans="1:8" x14ac:dyDescent="0.2">
      <c r="A471" s="32">
        <v>560332</v>
      </c>
      <c r="B471" s="27" t="s">
        <v>311</v>
      </c>
      <c r="C471" s="55">
        <v>77.448000000000008</v>
      </c>
      <c r="D471" s="55">
        <v>34.851600000000005</v>
      </c>
      <c r="E471" s="28" t="s">
        <v>954</v>
      </c>
      <c r="F471" s="55">
        <v>32.411988000000008</v>
      </c>
      <c r="G471" s="29">
        <v>44652</v>
      </c>
      <c r="H471" s="30">
        <v>44926</v>
      </c>
    </row>
    <row r="472" spans="1:8" x14ac:dyDescent="0.2">
      <c r="A472" s="32">
        <v>560351</v>
      </c>
      <c r="B472" s="27" t="s">
        <v>312</v>
      </c>
      <c r="C472" s="55">
        <v>72.271500000000003</v>
      </c>
      <c r="D472" s="55">
        <v>32.522175000000004</v>
      </c>
      <c r="E472" s="28" t="s">
        <v>954</v>
      </c>
      <c r="F472" s="55">
        <v>30.245622750000006</v>
      </c>
      <c r="G472" s="29">
        <v>44652</v>
      </c>
      <c r="H472" s="30">
        <v>44926</v>
      </c>
    </row>
    <row r="473" spans="1:8" x14ac:dyDescent="0.2">
      <c r="A473" s="32">
        <v>560352</v>
      </c>
      <c r="B473" s="27" t="s">
        <v>313</v>
      </c>
      <c r="C473" s="55">
        <v>72.271500000000003</v>
      </c>
      <c r="D473" s="55">
        <v>32.522175000000004</v>
      </c>
      <c r="E473" s="28" t="s">
        <v>954</v>
      </c>
      <c r="F473" s="55">
        <v>30.245622750000006</v>
      </c>
      <c r="G473" s="29">
        <v>44652</v>
      </c>
      <c r="H473" s="30">
        <v>44926</v>
      </c>
    </row>
    <row r="474" spans="1:8" x14ac:dyDescent="0.2">
      <c r="A474" s="32">
        <v>560353</v>
      </c>
      <c r="B474" s="27" t="s">
        <v>312</v>
      </c>
      <c r="C474" s="55">
        <v>74.466000000000008</v>
      </c>
      <c r="D474" s="55">
        <v>33.509700000000002</v>
      </c>
      <c r="E474" s="28" t="s">
        <v>954</v>
      </c>
      <c r="F474" s="55">
        <v>31.164021000000005</v>
      </c>
      <c r="G474" s="29">
        <v>44652</v>
      </c>
      <c r="H474" s="30">
        <v>44926</v>
      </c>
    </row>
    <row r="475" spans="1:8" x14ac:dyDescent="0.2">
      <c r="A475" s="32">
        <v>560354</v>
      </c>
      <c r="B475" s="27" t="s">
        <v>313</v>
      </c>
      <c r="C475" s="55">
        <v>74.466000000000008</v>
      </c>
      <c r="D475" s="55">
        <v>33.509700000000002</v>
      </c>
      <c r="E475" s="28" t="s">
        <v>954</v>
      </c>
      <c r="F475" s="55">
        <v>31.164021000000005</v>
      </c>
      <c r="G475" s="29">
        <v>44652</v>
      </c>
      <c r="H475" s="30">
        <v>44926</v>
      </c>
    </row>
    <row r="476" spans="1:8" x14ac:dyDescent="0.2">
      <c r="A476" s="32">
        <v>560382</v>
      </c>
      <c r="B476" s="27" t="s">
        <v>314</v>
      </c>
      <c r="C476" s="55">
        <v>71.830500000000001</v>
      </c>
      <c r="D476" s="55">
        <v>32.323725000000003</v>
      </c>
      <c r="E476" s="28" t="s">
        <v>954</v>
      </c>
      <c r="F476" s="55">
        <v>30.061064250000005</v>
      </c>
      <c r="G476" s="29">
        <v>44652</v>
      </c>
      <c r="H476" s="30">
        <v>44926</v>
      </c>
    </row>
    <row r="477" spans="1:8" x14ac:dyDescent="0.2">
      <c r="A477" s="32">
        <v>570021</v>
      </c>
      <c r="B477" s="27" t="s">
        <v>315</v>
      </c>
      <c r="C477" s="55">
        <v>32.700000000000003</v>
      </c>
      <c r="D477" s="55">
        <v>14.715000000000002</v>
      </c>
      <c r="E477" s="28" t="s">
        <v>954</v>
      </c>
      <c r="F477" s="55">
        <v>13.684950000000002</v>
      </c>
      <c r="G477" s="29">
        <v>44652</v>
      </c>
      <c r="H477" s="30">
        <v>44926</v>
      </c>
    </row>
    <row r="478" spans="1:8" x14ac:dyDescent="0.2">
      <c r="A478" s="32">
        <v>570023</v>
      </c>
      <c r="B478" s="27" t="s">
        <v>315</v>
      </c>
      <c r="C478" s="55">
        <v>33.1</v>
      </c>
      <c r="D478" s="55">
        <v>14.895000000000001</v>
      </c>
      <c r="E478" s="28" t="s">
        <v>954</v>
      </c>
      <c r="F478" s="55">
        <v>13.852350000000001</v>
      </c>
      <c r="G478" s="29">
        <v>44652</v>
      </c>
      <c r="H478" s="30">
        <v>44926</v>
      </c>
    </row>
    <row r="479" spans="1:8" x14ac:dyDescent="0.2">
      <c r="A479" s="32">
        <v>570024</v>
      </c>
      <c r="B479" s="27" t="s">
        <v>316</v>
      </c>
      <c r="C479" s="55">
        <v>29.5</v>
      </c>
      <c r="D479" s="55">
        <v>13.275</v>
      </c>
      <c r="E479" s="28" t="s">
        <v>954</v>
      </c>
      <c r="F479" s="55">
        <v>12.345750000000001</v>
      </c>
      <c r="G479" s="29">
        <v>44652</v>
      </c>
      <c r="H479" s="30">
        <v>44926</v>
      </c>
    </row>
    <row r="480" spans="1:8" x14ac:dyDescent="0.2">
      <c r="A480" s="32">
        <v>570025</v>
      </c>
      <c r="B480" s="27" t="s">
        <v>317</v>
      </c>
      <c r="C480" s="55">
        <v>27.88</v>
      </c>
      <c r="D480" s="55">
        <v>12.545999999999999</v>
      </c>
      <c r="E480" s="28" t="s">
        <v>954</v>
      </c>
      <c r="F480" s="55">
        <v>11.66778</v>
      </c>
      <c r="G480" s="29">
        <v>44652</v>
      </c>
      <c r="H480" s="30">
        <v>44926</v>
      </c>
    </row>
    <row r="481" spans="1:8" x14ac:dyDescent="0.2">
      <c r="A481" s="32">
        <v>570026</v>
      </c>
      <c r="B481" s="27" t="s">
        <v>318</v>
      </c>
      <c r="C481" s="55">
        <v>43.5</v>
      </c>
      <c r="D481" s="55">
        <v>19.574999999999999</v>
      </c>
      <c r="E481" s="28" t="s">
        <v>954</v>
      </c>
      <c r="F481" s="55">
        <v>18.204750000000001</v>
      </c>
      <c r="G481" s="29">
        <v>44652</v>
      </c>
      <c r="H481" s="30">
        <v>44926</v>
      </c>
    </row>
    <row r="482" spans="1:8" x14ac:dyDescent="0.2">
      <c r="A482" s="32">
        <v>570027</v>
      </c>
      <c r="B482" s="27" t="s">
        <v>319</v>
      </c>
      <c r="C482" s="55">
        <v>15.256500000000001</v>
      </c>
      <c r="D482" s="55">
        <v>6.8654250000000001</v>
      </c>
      <c r="E482" s="28"/>
      <c r="F482" s="55">
        <v>6.3848452500000006</v>
      </c>
      <c r="G482" s="29">
        <v>44652</v>
      </c>
      <c r="H482" s="30">
        <v>44926</v>
      </c>
    </row>
    <row r="483" spans="1:8" x14ac:dyDescent="0.2">
      <c r="A483" s="32">
        <v>570032</v>
      </c>
      <c r="B483" s="27" t="s">
        <v>320</v>
      </c>
      <c r="C483" s="55">
        <v>61.257000000000005</v>
      </c>
      <c r="D483" s="55">
        <v>27.565650000000002</v>
      </c>
      <c r="E483" s="28" t="s">
        <v>954</v>
      </c>
      <c r="F483" s="55">
        <v>25.636054500000004</v>
      </c>
      <c r="G483" s="29">
        <v>44652</v>
      </c>
      <c r="H483" s="30">
        <v>44926</v>
      </c>
    </row>
    <row r="484" spans="1:8" x14ac:dyDescent="0.2">
      <c r="A484" s="32">
        <v>570033</v>
      </c>
      <c r="B484" s="27" t="s">
        <v>320</v>
      </c>
      <c r="C484" s="55">
        <v>66.423000000000002</v>
      </c>
      <c r="D484" s="55">
        <v>29.890350000000002</v>
      </c>
      <c r="E484" s="28" t="s">
        <v>954</v>
      </c>
      <c r="F484" s="55">
        <v>27.798025500000001</v>
      </c>
      <c r="G484" s="29">
        <v>44652</v>
      </c>
      <c r="H484" s="30">
        <v>44926</v>
      </c>
    </row>
    <row r="485" spans="1:8" x14ac:dyDescent="0.2">
      <c r="A485" s="32">
        <v>570034</v>
      </c>
      <c r="B485" s="27" t="s">
        <v>321</v>
      </c>
      <c r="C485" s="55">
        <v>36.299999999999997</v>
      </c>
      <c r="D485" s="55">
        <v>16.335000000000001</v>
      </c>
      <c r="E485" s="28" t="s">
        <v>954</v>
      </c>
      <c r="F485" s="55">
        <v>15.191550000000001</v>
      </c>
      <c r="G485" s="29">
        <v>44652</v>
      </c>
      <c r="H485" s="30">
        <v>44926</v>
      </c>
    </row>
    <row r="486" spans="1:8" x14ac:dyDescent="0.2">
      <c r="A486" s="32">
        <v>570035</v>
      </c>
      <c r="B486" s="27" t="s">
        <v>1051</v>
      </c>
      <c r="C486" s="55">
        <v>35.869999999999997</v>
      </c>
      <c r="D486" s="55">
        <v>16.141500000000001</v>
      </c>
      <c r="E486" s="28" t="s">
        <v>954</v>
      </c>
      <c r="F486" s="55">
        <v>15.011595000000002</v>
      </c>
      <c r="G486" s="29">
        <v>44652</v>
      </c>
      <c r="H486" s="30">
        <v>44926</v>
      </c>
    </row>
    <row r="487" spans="1:8" x14ac:dyDescent="0.2">
      <c r="A487" s="32">
        <v>570036</v>
      </c>
      <c r="B487" s="27" t="s">
        <v>322</v>
      </c>
      <c r="C487" s="55">
        <v>32.200000000000003</v>
      </c>
      <c r="D487" s="55">
        <v>14.490000000000002</v>
      </c>
      <c r="E487" s="28" t="s">
        <v>954</v>
      </c>
      <c r="F487" s="55">
        <v>13.475700000000003</v>
      </c>
      <c r="G487" s="29">
        <v>44652</v>
      </c>
      <c r="H487" s="30">
        <v>44926</v>
      </c>
    </row>
    <row r="488" spans="1:8" x14ac:dyDescent="0.2">
      <c r="A488" s="32">
        <v>570037</v>
      </c>
      <c r="B488" s="27" t="s">
        <v>319</v>
      </c>
      <c r="C488" s="55">
        <v>20.399999999999999</v>
      </c>
      <c r="D488" s="55">
        <v>9.18</v>
      </c>
      <c r="E488" s="28" t="s">
        <v>954</v>
      </c>
      <c r="F488" s="55">
        <v>8.5373999999999999</v>
      </c>
      <c r="G488" s="29">
        <v>44652</v>
      </c>
      <c r="H488" s="30">
        <v>44926</v>
      </c>
    </row>
    <row r="489" spans="1:8" x14ac:dyDescent="0.2">
      <c r="A489" s="32">
        <v>570038</v>
      </c>
      <c r="B489" s="27" t="s">
        <v>319</v>
      </c>
      <c r="C489" s="55">
        <v>50.8</v>
      </c>
      <c r="D489" s="55">
        <v>22.86</v>
      </c>
      <c r="E489" s="28" t="s">
        <v>954</v>
      </c>
      <c r="F489" s="55">
        <v>21.259800000000002</v>
      </c>
      <c r="G489" s="29">
        <v>44652</v>
      </c>
      <c r="H489" s="30">
        <v>44926</v>
      </c>
    </row>
    <row r="490" spans="1:8" x14ac:dyDescent="0.2">
      <c r="A490" s="32">
        <v>570039</v>
      </c>
      <c r="B490" s="27" t="s">
        <v>323</v>
      </c>
      <c r="C490" s="55">
        <v>79.663500000000013</v>
      </c>
      <c r="D490" s="55">
        <v>35.848575000000004</v>
      </c>
      <c r="E490" s="28" t="s">
        <v>8</v>
      </c>
      <c r="F490" s="55"/>
      <c r="G490" s="29">
        <v>44652</v>
      </c>
      <c r="H490" s="30">
        <v>44926</v>
      </c>
    </row>
    <row r="491" spans="1:8" x14ac:dyDescent="0.2">
      <c r="A491" s="32">
        <v>570221</v>
      </c>
      <c r="B491" s="27" t="s">
        <v>324</v>
      </c>
      <c r="C491" s="55">
        <v>42.5</v>
      </c>
      <c r="D491" s="55">
        <v>19.125</v>
      </c>
      <c r="E491" s="28" t="s">
        <v>954</v>
      </c>
      <c r="F491" s="55">
        <v>17.786250000000003</v>
      </c>
      <c r="G491" s="29">
        <v>44652</v>
      </c>
      <c r="H491" s="30">
        <v>44926</v>
      </c>
    </row>
    <row r="492" spans="1:8" x14ac:dyDescent="0.2">
      <c r="A492" s="32">
        <v>570222</v>
      </c>
      <c r="B492" s="27" t="s">
        <v>325</v>
      </c>
      <c r="C492" s="55">
        <v>36.1</v>
      </c>
      <c r="D492" s="55">
        <v>16.245000000000001</v>
      </c>
      <c r="E492" s="28" t="s">
        <v>954</v>
      </c>
      <c r="F492" s="55">
        <v>15.107850000000001</v>
      </c>
      <c r="G492" s="29">
        <v>44652</v>
      </c>
      <c r="H492" s="30">
        <v>44926</v>
      </c>
    </row>
    <row r="493" spans="1:8" x14ac:dyDescent="0.2">
      <c r="A493" s="32">
        <v>570223</v>
      </c>
      <c r="B493" s="27" t="s">
        <v>326</v>
      </c>
      <c r="C493" s="55">
        <v>37.4</v>
      </c>
      <c r="D493" s="55">
        <v>16.829999999999998</v>
      </c>
      <c r="E493" s="28" t="s">
        <v>954</v>
      </c>
      <c r="F493" s="55">
        <v>15.651899999999999</v>
      </c>
      <c r="G493" s="29">
        <v>44652</v>
      </c>
      <c r="H493" s="30">
        <v>44926</v>
      </c>
    </row>
    <row r="494" spans="1:8" x14ac:dyDescent="0.2">
      <c r="A494" s="32">
        <v>570224</v>
      </c>
      <c r="B494" s="27" t="s">
        <v>327</v>
      </c>
      <c r="C494" s="55">
        <v>37.5</v>
      </c>
      <c r="D494" s="55">
        <v>16.875</v>
      </c>
      <c r="E494" s="28" t="s">
        <v>954</v>
      </c>
      <c r="F494" s="55">
        <v>15.693750000000001</v>
      </c>
      <c r="G494" s="29">
        <v>44652</v>
      </c>
      <c r="H494" s="30">
        <v>44926</v>
      </c>
    </row>
    <row r="495" spans="1:8" x14ac:dyDescent="0.2">
      <c r="A495" s="32">
        <v>570230</v>
      </c>
      <c r="B495" s="27" t="s">
        <v>328</v>
      </c>
      <c r="C495" s="55">
        <v>144</v>
      </c>
      <c r="D495" s="55">
        <v>64.8</v>
      </c>
      <c r="E495" s="28"/>
      <c r="F495" s="55">
        <v>60.264000000000003</v>
      </c>
      <c r="G495" s="29">
        <v>44652</v>
      </c>
      <c r="H495" s="30">
        <v>44926</v>
      </c>
    </row>
    <row r="496" spans="1:8" x14ac:dyDescent="0.2">
      <c r="A496" s="32">
        <v>570234</v>
      </c>
      <c r="B496" s="27" t="s">
        <v>329</v>
      </c>
      <c r="C496" s="55">
        <v>54.831000000000003</v>
      </c>
      <c r="D496" s="55">
        <v>24.673950000000001</v>
      </c>
      <c r="E496" s="28"/>
      <c r="F496" s="55">
        <v>22.946773500000003</v>
      </c>
      <c r="G496" s="29">
        <v>44652</v>
      </c>
      <c r="H496" s="30">
        <v>44926</v>
      </c>
    </row>
    <row r="497" spans="1:8" x14ac:dyDescent="0.2">
      <c r="A497" s="32">
        <v>570235</v>
      </c>
      <c r="B497" s="27" t="s">
        <v>330</v>
      </c>
      <c r="C497" s="55">
        <v>54.831000000000003</v>
      </c>
      <c r="D497" s="55">
        <v>24.673950000000001</v>
      </c>
      <c r="E497" s="28" t="s">
        <v>954</v>
      </c>
      <c r="F497" s="55">
        <v>22.946773500000003</v>
      </c>
      <c r="G497" s="29">
        <v>44652</v>
      </c>
      <c r="H497" s="30">
        <v>44926</v>
      </c>
    </row>
    <row r="498" spans="1:8" x14ac:dyDescent="0.2">
      <c r="A498" s="32">
        <v>570239</v>
      </c>
      <c r="B498" s="27" t="s">
        <v>331</v>
      </c>
      <c r="C498" s="55">
        <v>53.991000000000007</v>
      </c>
      <c r="D498" s="55">
        <v>24.295950000000005</v>
      </c>
      <c r="E498" s="28"/>
      <c r="F498" s="55">
        <v>22.595233500000006</v>
      </c>
      <c r="G498" s="29">
        <v>44652</v>
      </c>
      <c r="H498" s="30">
        <v>44926</v>
      </c>
    </row>
    <row r="499" spans="1:8" x14ac:dyDescent="0.2">
      <c r="A499" s="32">
        <v>570240</v>
      </c>
      <c r="B499" s="27" t="s">
        <v>1052</v>
      </c>
      <c r="C499" s="55">
        <v>53.991000000000007</v>
      </c>
      <c r="D499" s="55">
        <v>24.295950000000005</v>
      </c>
      <c r="E499" s="28" t="s">
        <v>954</v>
      </c>
      <c r="F499" s="55">
        <v>22.595233500000006</v>
      </c>
      <c r="G499" s="29">
        <v>44652</v>
      </c>
      <c r="H499" s="30">
        <v>44926</v>
      </c>
    </row>
    <row r="500" spans="1:8" x14ac:dyDescent="0.2">
      <c r="A500" s="32">
        <v>570325</v>
      </c>
      <c r="B500" s="27" t="s">
        <v>332</v>
      </c>
      <c r="C500" s="55">
        <v>72.985500000000002</v>
      </c>
      <c r="D500" s="55">
        <v>32.843475000000005</v>
      </c>
      <c r="E500" s="28" t="s">
        <v>954</v>
      </c>
      <c r="F500" s="55">
        <v>30.544431750000005</v>
      </c>
      <c r="G500" s="29">
        <v>44652</v>
      </c>
      <c r="H500" s="30">
        <v>44926</v>
      </c>
    </row>
    <row r="501" spans="1:8" x14ac:dyDescent="0.2">
      <c r="A501" s="32">
        <v>570326</v>
      </c>
      <c r="B501" s="27" t="s">
        <v>333</v>
      </c>
      <c r="C501" s="55">
        <v>87.349500000000006</v>
      </c>
      <c r="D501" s="55">
        <v>39.307275000000004</v>
      </c>
      <c r="E501" s="28" t="s">
        <v>954</v>
      </c>
      <c r="F501" s="55">
        <v>36.555765750000006</v>
      </c>
      <c r="G501" s="29">
        <v>44652</v>
      </c>
      <c r="H501" s="30">
        <v>44926</v>
      </c>
    </row>
    <row r="502" spans="1:8" x14ac:dyDescent="0.2">
      <c r="A502" s="32">
        <v>570335</v>
      </c>
      <c r="B502" s="27" t="s">
        <v>334</v>
      </c>
      <c r="C502" s="55">
        <v>75.915000000000006</v>
      </c>
      <c r="D502" s="55">
        <v>34.161750000000005</v>
      </c>
      <c r="E502" s="28" t="s">
        <v>954</v>
      </c>
      <c r="F502" s="55">
        <v>31.770427500000007</v>
      </c>
      <c r="G502" s="29">
        <v>44652</v>
      </c>
      <c r="H502" s="30">
        <v>44926</v>
      </c>
    </row>
    <row r="503" spans="1:8" x14ac:dyDescent="0.2">
      <c r="A503" s="32">
        <v>570340</v>
      </c>
      <c r="B503" s="27" t="s">
        <v>1319</v>
      </c>
      <c r="C503" s="55">
        <v>72.985500000000002</v>
      </c>
      <c r="D503" s="55">
        <v>32.843475000000005</v>
      </c>
      <c r="E503" s="28" t="s">
        <v>954</v>
      </c>
      <c r="F503" s="55">
        <v>30.544431750000005</v>
      </c>
      <c r="G503" s="29">
        <v>44652</v>
      </c>
      <c r="H503" s="30">
        <v>44926</v>
      </c>
    </row>
    <row r="504" spans="1:8" x14ac:dyDescent="0.2">
      <c r="A504" s="32">
        <v>570342</v>
      </c>
      <c r="B504" s="27" t="s">
        <v>335</v>
      </c>
      <c r="C504" s="55">
        <v>75.915000000000006</v>
      </c>
      <c r="D504" s="55">
        <v>34.161750000000005</v>
      </c>
      <c r="E504" s="28" t="s">
        <v>954</v>
      </c>
      <c r="F504" s="55">
        <v>31.770427500000007</v>
      </c>
      <c r="G504" s="29">
        <v>44652</v>
      </c>
      <c r="H504" s="30">
        <v>44926</v>
      </c>
    </row>
    <row r="505" spans="1:8" x14ac:dyDescent="0.2">
      <c r="A505" s="32">
        <v>570344</v>
      </c>
      <c r="B505" s="27" t="s">
        <v>336</v>
      </c>
      <c r="C505" s="55">
        <v>81.973500000000001</v>
      </c>
      <c r="D505" s="55">
        <v>36.888075000000001</v>
      </c>
      <c r="E505" s="28" t="s">
        <v>954</v>
      </c>
      <c r="F505" s="55">
        <v>34.305909750000005</v>
      </c>
      <c r="G505" s="29">
        <v>44652</v>
      </c>
      <c r="H505" s="30">
        <v>44926</v>
      </c>
    </row>
    <row r="506" spans="1:8" x14ac:dyDescent="0.2">
      <c r="A506" s="32">
        <v>600011</v>
      </c>
      <c r="B506" s="27" t="s">
        <v>337</v>
      </c>
      <c r="C506" s="55">
        <v>28.3</v>
      </c>
      <c r="D506" s="55">
        <v>12.735000000000001</v>
      </c>
      <c r="E506" s="28" t="s">
        <v>954</v>
      </c>
      <c r="F506" s="55">
        <v>11.843550000000002</v>
      </c>
      <c r="G506" s="29">
        <v>44652</v>
      </c>
      <c r="H506" s="30">
        <v>44926</v>
      </c>
    </row>
    <row r="507" spans="1:8" x14ac:dyDescent="0.2">
      <c r="A507" s="32">
        <v>600012</v>
      </c>
      <c r="B507" s="27" t="s">
        <v>338</v>
      </c>
      <c r="C507" s="55">
        <v>28.27</v>
      </c>
      <c r="D507" s="55">
        <v>12.721500000000001</v>
      </c>
      <c r="E507" s="28" t="s">
        <v>954</v>
      </c>
      <c r="F507" s="55">
        <v>11.830995000000001</v>
      </c>
      <c r="G507" s="29">
        <v>44652</v>
      </c>
      <c r="H507" s="30">
        <v>44926</v>
      </c>
    </row>
    <row r="508" spans="1:8" x14ac:dyDescent="0.2">
      <c r="A508" s="32">
        <v>600013</v>
      </c>
      <c r="B508" s="27" t="s">
        <v>339</v>
      </c>
      <c r="C508" s="55">
        <v>48.55</v>
      </c>
      <c r="D508" s="55">
        <v>21.8475</v>
      </c>
      <c r="E508" s="28" t="s">
        <v>954</v>
      </c>
      <c r="F508" s="55">
        <v>20.318175</v>
      </c>
      <c r="G508" s="29">
        <v>44652</v>
      </c>
      <c r="H508" s="30">
        <v>44926</v>
      </c>
    </row>
    <row r="509" spans="1:8" x14ac:dyDescent="0.2">
      <c r="A509" s="32">
        <v>600014</v>
      </c>
      <c r="B509" s="27" t="s">
        <v>340</v>
      </c>
      <c r="C509" s="55">
        <v>48.55</v>
      </c>
      <c r="D509" s="55">
        <v>21.8475</v>
      </c>
      <c r="E509" s="28" t="s">
        <v>954</v>
      </c>
      <c r="F509" s="55">
        <v>20.318175</v>
      </c>
      <c r="G509" s="29">
        <v>44652</v>
      </c>
      <c r="H509" s="30">
        <v>44926</v>
      </c>
    </row>
    <row r="510" spans="1:8" x14ac:dyDescent="0.2">
      <c r="A510" s="32">
        <v>600211</v>
      </c>
      <c r="B510" s="27" t="s">
        <v>341</v>
      </c>
      <c r="C510" s="55">
        <v>48.2</v>
      </c>
      <c r="D510" s="55">
        <v>21.69</v>
      </c>
      <c r="E510" s="28" t="s">
        <v>954</v>
      </c>
      <c r="F510" s="55">
        <v>20.171700000000001</v>
      </c>
      <c r="G510" s="29">
        <v>44652</v>
      </c>
      <c r="H510" s="30">
        <v>44926</v>
      </c>
    </row>
    <row r="511" spans="1:8" x14ac:dyDescent="0.2">
      <c r="A511" s="32">
        <v>600212</v>
      </c>
      <c r="B511" s="27" t="s">
        <v>342</v>
      </c>
      <c r="C511" s="55">
        <v>46.4</v>
      </c>
      <c r="D511" s="55">
        <v>20.88</v>
      </c>
      <c r="E511" s="28" t="s">
        <v>954</v>
      </c>
      <c r="F511" s="55">
        <v>19.418399999999998</v>
      </c>
      <c r="G511" s="29">
        <v>44652</v>
      </c>
      <c r="H511" s="30">
        <v>44926</v>
      </c>
    </row>
    <row r="512" spans="1:8" x14ac:dyDescent="0.2">
      <c r="A512" s="32">
        <v>600213</v>
      </c>
      <c r="B512" s="27" t="s">
        <v>1314</v>
      </c>
      <c r="C512" s="55">
        <v>82.4</v>
      </c>
      <c r="D512" s="55">
        <v>37.080000000000005</v>
      </c>
      <c r="E512" s="28" t="s">
        <v>954</v>
      </c>
      <c r="F512" s="55">
        <v>34.484400000000008</v>
      </c>
      <c r="G512" s="29">
        <v>44652</v>
      </c>
      <c r="H512" s="30">
        <v>44926</v>
      </c>
    </row>
    <row r="513" spans="1:8" x14ac:dyDescent="0.2">
      <c r="A513" s="32">
        <v>600214</v>
      </c>
      <c r="B513" s="27" t="s">
        <v>1315</v>
      </c>
      <c r="C513" s="55">
        <v>78</v>
      </c>
      <c r="D513" s="55">
        <v>35.1</v>
      </c>
      <c r="E513" s="28" t="s">
        <v>954</v>
      </c>
      <c r="F513" s="55">
        <v>32.643000000000001</v>
      </c>
      <c r="G513" s="29">
        <v>44652</v>
      </c>
      <c r="H513" s="30">
        <v>44926</v>
      </c>
    </row>
    <row r="514" spans="1:8" x14ac:dyDescent="0.2">
      <c r="A514" s="32">
        <v>650001</v>
      </c>
      <c r="B514" s="27" t="s">
        <v>343</v>
      </c>
      <c r="C514" s="55">
        <v>19.899999999999999</v>
      </c>
      <c r="D514" s="55">
        <v>8.9550000000000001</v>
      </c>
      <c r="E514" s="28" t="s">
        <v>954</v>
      </c>
      <c r="F514" s="55">
        <v>8.3281500000000008</v>
      </c>
      <c r="G514" s="29">
        <v>44652</v>
      </c>
      <c r="H514" s="30">
        <v>44926</v>
      </c>
    </row>
    <row r="515" spans="1:8" x14ac:dyDescent="0.2">
      <c r="A515" s="32">
        <v>650002</v>
      </c>
      <c r="B515" s="27" t="s">
        <v>344</v>
      </c>
      <c r="C515" s="55">
        <v>21.19</v>
      </c>
      <c r="D515" s="55">
        <v>9.5355000000000008</v>
      </c>
      <c r="E515" s="28" t="s">
        <v>954</v>
      </c>
      <c r="F515" s="55">
        <v>8.8680150000000015</v>
      </c>
      <c r="G515" s="29">
        <v>44652</v>
      </c>
      <c r="H515" s="30">
        <v>44926</v>
      </c>
    </row>
    <row r="516" spans="1:8" x14ac:dyDescent="0.2">
      <c r="A516" s="32">
        <v>650007</v>
      </c>
      <c r="B516" s="27" t="s">
        <v>345</v>
      </c>
      <c r="C516" s="55">
        <v>22</v>
      </c>
      <c r="D516" s="55">
        <v>9.9</v>
      </c>
      <c r="E516" s="28" t="s">
        <v>954</v>
      </c>
      <c r="F516" s="55">
        <v>9.2070000000000007</v>
      </c>
      <c r="G516" s="29">
        <v>44652</v>
      </c>
      <c r="H516" s="30">
        <v>44926</v>
      </c>
    </row>
    <row r="517" spans="1:8" x14ac:dyDescent="0.2">
      <c r="A517" s="32">
        <v>650008</v>
      </c>
      <c r="B517" s="27" t="s">
        <v>346</v>
      </c>
      <c r="C517" s="55">
        <v>27.7</v>
      </c>
      <c r="D517" s="55">
        <v>12.465</v>
      </c>
      <c r="E517" s="28" t="s">
        <v>954</v>
      </c>
      <c r="F517" s="55">
        <v>11.592450000000001</v>
      </c>
      <c r="G517" s="29">
        <v>44652</v>
      </c>
      <c r="H517" s="30">
        <v>44926</v>
      </c>
    </row>
    <row r="518" spans="1:8" x14ac:dyDescent="0.2">
      <c r="A518" s="32">
        <v>650019</v>
      </c>
      <c r="B518" s="27" t="s">
        <v>54</v>
      </c>
      <c r="C518" s="55">
        <v>40</v>
      </c>
      <c r="D518" s="55">
        <v>18</v>
      </c>
      <c r="E518" s="28" t="s">
        <v>8</v>
      </c>
      <c r="F518" s="55"/>
      <c r="G518" s="29">
        <v>44652</v>
      </c>
      <c r="H518" s="30">
        <v>44926</v>
      </c>
    </row>
    <row r="519" spans="1:8" x14ac:dyDescent="0.2">
      <c r="A519" s="32">
        <v>650020</v>
      </c>
      <c r="B519" s="27" t="s">
        <v>55</v>
      </c>
      <c r="C519" s="55">
        <v>36.5</v>
      </c>
      <c r="D519" s="55">
        <v>16.425000000000001</v>
      </c>
      <c r="E519" s="28" t="s">
        <v>8</v>
      </c>
      <c r="F519" s="55"/>
      <c r="G519" s="29">
        <v>44652</v>
      </c>
      <c r="H519" s="30">
        <v>44926</v>
      </c>
    </row>
    <row r="520" spans="1:8" x14ac:dyDescent="0.2">
      <c r="A520" s="32">
        <v>650021</v>
      </c>
      <c r="B520" s="27" t="s">
        <v>56</v>
      </c>
      <c r="C520" s="55">
        <v>45</v>
      </c>
      <c r="D520" s="55">
        <v>20.25</v>
      </c>
      <c r="E520" s="28" t="s">
        <v>8</v>
      </c>
      <c r="F520" s="55"/>
      <c r="G520" s="29">
        <v>44652</v>
      </c>
      <c r="H520" s="30">
        <v>44926</v>
      </c>
    </row>
    <row r="521" spans="1:8" x14ac:dyDescent="0.2">
      <c r="A521" s="32">
        <v>650022</v>
      </c>
      <c r="B521" s="27" t="s">
        <v>1084</v>
      </c>
      <c r="C521" s="55">
        <v>39</v>
      </c>
      <c r="D521" s="55">
        <v>17.55</v>
      </c>
      <c r="E521" s="28" t="s">
        <v>8</v>
      </c>
      <c r="F521" s="55"/>
      <c r="G521" s="29">
        <v>44652</v>
      </c>
      <c r="H521" s="30">
        <v>44926</v>
      </c>
    </row>
    <row r="522" spans="1:8" x14ac:dyDescent="0.2">
      <c r="A522" s="32">
        <v>650201</v>
      </c>
      <c r="B522" s="27" t="s">
        <v>347</v>
      </c>
      <c r="C522" s="55">
        <v>36.823500000000003</v>
      </c>
      <c r="D522" s="55">
        <v>16.570575000000002</v>
      </c>
      <c r="E522" s="28" t="s">
        <v>954</v>
      </c>
      <c r="F522" s="55">
        <v>15.410634750000002</v>
      </c>
      <c r="G522" s="29">
        <v>44652</v>
      </c>
      <c r="H522" s="30">
        <v>44926</v>
      </c>
    </row>
    <row r="523" spans="1:8" x14ac:dyDescent="0.2">
      <c r="A523" s="32">
        <v>650202</v>
      </c>
      <c r="B523" s="27" t="s">
        <v>348</v>
      </c>
      <c r="C523" s="55">
        <v>36.823500000000003</v>
      </c>
      <c r="D523" s="55">
        <v>16.570575000000002</v>
      </c>
      <c r="E523" s="28" t="s">
        <v>954</v>
      </c>
      <c r="F523" s="55">
        <v>15.410634750000002</v>
      </c>
      <c r="G523" s="29">
        <v>44652</v>
      </c>
      <c r="H523" s="30">
        <v>44926</v>
      </c>
    </row>
    <row r="524" spans="1:8" x14ac:dyDescent="0.2">
      <c r="A524" s="32">
        <v>650207</v>
      </c>
      <c r="B524" s="27" t="s">
        <v>349</v>
      </c>
      <c r="C524" s="55">
        <v>35.910000000000004</v>
      </c>
      <c r="D524" s="55">
        <v>16.159500000000001</v>
      </c>
      <c r="E524" s="28" t="s">
        <v>954</v>
      </c>
      <c r="F524" s="55">
        <v>15.028335000000002</v>
      </c>
      <c r="G524" s="29">
        <v>44652</v>
      </c>
      <c r="H524" s="30">
        <v>44926</v>
      </c>
    </row>
    <row r="525" spans="1:8" x14ac:dyDescent="0.2">
      <c r="A525" s="32">
        <v>650208</v>
      </c>
      <c r="B525" s="27" t="s">
        <v>350</v>
      </c>
      <c r="C525" s="55">
        <v>35.910000000000004</v>
      </c>
      <c r="D525" s="55">
        <v>16.159500000000001</v>
      </c>
      <c r="E525" s="28" t="s">
        <v>954</v>
      </c>
      <c r="F525" s="55">
        <v>15.028335000000002</v>
      </c>
      <c r="G525" s="29">
        <v>44652</v>
      </c>
      <c r="H525" s="30">
        <v>44926</v>
      </c>
    </row>
    <row r="526" spans="1:8" x14ac:dyDescent="0.2">
      <c r="A526" s="32">
        <v>650219</v>
      </c>
      <c r="B526" s="27" t="s">
        <v>62</v>
      </c>
      <c r="C526" s="55">
        <v>48.25</v>
      </c>
      <c r="D526" s="55">
        <v>21.712500000000002</v>
      </c>
      <c r="E526" s="28" t="s">
        <v>8</v>
      </c>
      <c r="F526" s="55"/>
      <c r="G526" s="29">
        <v>44652</v>
      </c>
      <c r="H526" s="30">
        <v>44926</v>
      </c>
    </row>
    <row r="527" spans="1:8" x14ac:dyDescent="0.2">
      <c r="A527" s="32">
        <v>650220</v>
      </c>
      <c r="B527" s="27" t="s">
        <v>63</v>
      </c>
      <c r="C527" s="55">
        <v>51.25</v>
      </c>
      <c r="D527" s="55">
        <v>23.0625</v>
      </c>
      <c r="E527" s="28" t="s">
        <v>8</v>
      </c>
      <c r="F527" s="55"/>
      <c r="G527" s="29">
        <v>44652</v>
      </c>
      <c r="H527" s="30">
        <v>44926</v>
      </c>
    </row>
    <row r="528" spans="1:8" x14ac:dyDescent="0.2">
      <c r="A528" s="32">
        <v>650221</v>
      </c>
      <c r="B528" s="27" t="s">
        <v>64</v>
      </c>
      <c r="C528" s="55">
        <v>50.5</v>
      </c>
      <c r="D528" s="55">
        <v>22.725000000000001</v>
      </c>
      <c r="E528" s="28" t="s">
        <v>8</v>
      </c>
      <c r="F528" s="55"/>
      <c r="G528" s="29">
        <v>44652</v>
      </c>
      <c r="H528" s="30">
        <v>44926</v>
      </c>
    </row>
    <row r="529" spans="1:8" x14ac:dyDescent="0.2">
      <c r="A529" s="32">
        <v>650222</v>
      </c>
      <c r="B529" s="27" t="s">
        <v>65</v>
      </c>
      <c r="C529" s="55">
        <v>49</v>
      </c>
      <c r="D529" s="55">
        <v>22.05</v>
      </c>
      <c r="E529" s="28" t="s">
        <v>8</v>
      </c>
      <c r="F529" s="55"/>
      <c r="G529" s="29">
        <v>44652</v>
      </c>
      <c r="H529" s="30">
        <v>44926</v>
      </c>
    </row>
    <row r="530" spans="1:8" x14ac:dyDescent="0.2">
      <c r="A530" s="32">
        <v>650228</v>
      </c>
      <c r="B530" s="27" t="s">
        <v>1312</v>
      </c>
      <c r="C530" s="55">
        <v>41.265000000000001</v>
      </c>
      <c r="D530" s="55">
        <v>18.56925</v>
      </c>
      <c r="E530" s="28" t="s">
        <v>8</v>
      </c>
      <c r="F530" s="55"/>
      <c r="G530" s="29">
        <v>44652</v>
      </c>
      <c r="H530" s="30">
        <v>44926</v>
      </c>
    </row>
    <row r="531" spans="1:8" x14ac:dyDescent="0.2">
      <c r="A531" s="32">
        <v>650231</v>
      </c>
      <c r="B531" s="27" t="s">
        <v>351</v>
      </c>
      <c r="C531" s="55">
        <v>43.3</v>
      </c>
      <c r="D531" s="55">
        <v>19.484999999999999</v>
      </c>
      <c r="E531" s="28" t="s">
        <v>954</v>
      </c>
      <c r="F531" s="55">
        <v>18.12105</v>
      </c>
      <c r="G531" s="29">
        <v>44652</v>
      </c>
      <c r="H531" s="30">
        <v>44926</v>
      </c>
    </row>
    <row r="532" spans="1:8" x14ac:dyDescent="0.2">
      <c r="A532" s="32">
        <v>651208</v>
      </c>
      <c r="B532" s="27" t="s">
        <v>352</v>
      </c>
      <c r="C532" s="55">
        <v>38.829000000000001</v>
      </c>
      <c r="D532" s="55">
        <v>17.473050000000001</v>
      </c>
      <c r="E532" s="28" t="s">
        <v>954</v>
      </c>
      <c r="F532" s="55">
        <v>16.2499365</v>
      </c>
      <c r="G532" s="29">
        <v>44652</v>
      </c>
      <c r="H532" s="30">
        <v>44926</v>
      </c>
    </row>
    <row r="533" spans="1:8" x14ac:dyDescent="0.2">
      <c r="A533" s="32">
        <v>660001</v>
      </c>
      <c r="B533" s="27" t="s">
        <v>226</v>
      </c>
      <c r="C533" s="55">
        <v>23.110500000000002</v>
      </c>
      <c r="D533" s="55">
        <v>10.399725000000002</v>
      </c>
      <c r="E533" s="28" t="s">
        <v>954</v>
      </c>
      <c r="F533" s="55">
        <v>9.6717442500000015</v>
      </c>
      <c r="G533" s="29">
        <v>44652</v>
      </c>
      <c r="H533" s="30">
        <v>44926</v>
      </c>
    </row>
    <row r="534" spans="1:8" x14ac:dyDescent="0.2">
      <c r="A534" s="32">
        <v>660002</v>
      </c>
      <c r="B534" s="27" t="s">
        <v>353</v>
      </c>
      <c r="C534" s="55">
        <v>23.110500000000002</v>
      </c>
      <c r="D534" s="55">
        <v>10.399725000000002</v>
      </c>
      <c r="E534" s="28" t="s">
        <v>954</v>
      </c>
      <c r="F534" s="55">
        <v>9.6717442500000015</v>
      </c>
      <c r="G534" s="29">
        <v>44652</v>
      </c>
      <c r="H534" s="30">
        <v>44926</v>
      </c>
    </row>
    <row r="535" spans="1:8" x14ac:dyDescent="0.2">
      <c r="A535" s="32">
        <v>660003</v>
      </c>
      <c r="B535" s="27" t="s">
        <v>354</v>
      </c>
      <c r="C535" s="55">
        <v>26.596499999999999</v>
      </c>
      <c r="D535" s="55">
        <v>11.968425</v>
      </c>
      <c r="E535" s="28" t="s">
        <v>954</v>
      </c>
      <c r="F535" s="55">
        <v>11.130635250000001</v>
      </c>
      <c r="G535" s="29">
        <v>44652</v>
      </c>
      <c r="H535" s="30">
        <v>44926</v>
      </c>
    </row>
    <row r="536" spans="1:8" x14ac:dyDescent="0.2">
      <c r="A536" s="32">
        <v>660004</v>
      </c>
      <c r="B536" s="27" t="s">
        <v>355</v>
      </c>
      <c r="C536" s="55">
        <v>29.25</v>
      </c>
      <c r="D536" s="55">
        <v>13.1625</v>
      </c>
      <c r="E536" s="28" t="s">
        <v>954</v>
      </c>
      <c r="F536" s="55">
        <v>12.241125</v>
      </c>
      <c r="G536" s="29">
        <v>44652</v>
      </c>
      <c r="H536" s="30">
        <v>44926</v>
      </c>
    </row>
    <row r="537" spans="1:8" x14ac:dyDescent="0.2">
      <c r="A537" s="32">
        <v>710003</v>
      </c>
      <c r="B537" s="27" t="s">
        <v>356</v>
      </c>
      <c r="C537" s="55">
        <v>72.900000000000006</v>
      </c>
      <c r="D537" s="55">
        <v>32.805000000000007</v>
      </c>
      <c r="E537" s="28" t="s">
        <v>954</v>
      </c>
      <c r="F537" s="55">
        <v>30.508650000000006</v>
      </c>
      <c r="G537" s="29">
        <v>44652</v>
      </c>
      <c r="H537" s="30">
        <v>44926</v>
      </c>
    </row>
    <row r="538" spans="1:8" x14ac:dyDescent="0.2">
      <c r="A538" s="32">
        <v>710004</v>
      </c>
      <c r="B538" s="27" t="s">
        <v>357</v>
      </c>
      <c r="C538" s="55">
        <v>97.6815</v>
      </c>
      <c r="D538" s="55">
        <v>43.956675000000004</v>
      </c>
      <c r="E538" s="28" t="s">
        <v>954</v>
      </c>
      <c r="F538" s="55">
        <v>40.879707750000009</v>
      </c>
      <c r="G538" s="29">
        <v>44652</v>
      </c>
      <c r="H538" s="30">
        <v>44926</v>
      </c>
    </row>
    <row r="539" spans="1:8" x14ac:dyDescent="0.2">
      <c r="A539" s="32">
        <v>710005</v>
      </c>
      <c r="B539" s="27" t="s">
        <v>358</v>
      </c>
      <c r="C539" s="55">
        <v>75.138000000000005</v>
      </c>
      <c r="D539" s="55">
        <v>33.812100000000001</v>
      </c>
      <c r="E539" s="28" t="s">
        <v>954</v>
      </c>
      <c r="F539" s="55">
        <v>31.445253000000001</v>
      </c>
      <c r="G539" s="29">
        <v>44652</v>
      </c>
      <c r="H539" s="30">
        <v>44926</v>
      </c>
    </row>
    <row r="540" spans="1:8" x14ac:dyDescent="0.2">
      <c r="A540" s="32">
        <v>710014</v>
      </c>
      <c r="B540" s="27" t="s">
        <v>359</v>
      </c>
      <c r="C540" s="55">
        <v>110.98500000000001</v>
      </c>
      <c r="D540" s="55">
        <v>49.943250000000006</v>
      </c>
      <c r="E540" s="28" t="s">
        <v>954</v>
      </c>
      <c r="F540" s="55">
        <v>46.447222500000009</v>
      </c>
      <c r="G540" s="29">
        <v>44652</v>
      </c>
      <c r="H540" s="30">
        <v>44926</v>
      </c>
    </row>
    <row r="541" spans="1:8" x14ac:dyDescent="0.2">
      <c r="A541" s="32">
        <v>710025</v>
      </c>
      <c r="B541" s="27" t="s">
        <v>360</v>
      </c>
      <c r="C541" s="55">
        <v>105.04200000000002</v>
      </c>
      <c r="D541" s="55">
        <v>47.268900000000009</v>
      </c>
      <c r="E541" s="28" t="s">
        <v>954</v>
      </c>
      <c r="F541" s="55">
        <v>43.960077000000013</v>
      </c>
      <c r="G541" s="29">
        <v>44652</v>
      </c>
      <c r="H541" s="30">
        <v>44926</v>
      </c>
    </row>
    <row r="542" spans="1:8" x14ac:dyDescent="0.2">
      <c r="A542" s="32">
        <v>710031</v>
      </c>
      <c r="B542" s="27" t="s">
        <v>361</v>
      </c>
      <c r="C542" s="55">
        <v>75.179999999999993</v>
      </c>
      <c r="D542" s="55">
        <v>33.830999999999996</v>
      </c>
      <c r="E542" s="28" t="s">
        <v>954</v>
      </c>
      <c r="F542" s="55">
        <v>31.462829999999997</v>
      </c>
      <c r="G542" s="29">
        <v>44652</v>
      </c>
      <c r="H542" s="30">
        <v>44926</v>
      </c>
    </row>
    <row r="543" spans="1:8" x14ac:dyDescent="0.2">
      <c r="A543" s="32">
        <v>730004</v>
      </c>
      <c r="B543" s="27" t="s">
        <v>1012</v>
      </c>
      <c r="C543" s="55">
        <v>46.4</v>
      </c>
      <c r="D543" s="55">
        <v>20.88</v>
      </c>
      <c r="E543" s="28" t="s">
        <v>954</v>
      </c>
      <c r="F543" s="55">
        <v>19.418399999999998</v>
      </c>
      <c r="G543" s="29">
        <v>44652</v>
      </c>
      <c r="H543" s="30">
        <v>44926</v>
      </c>
    </row>
    <row r="544" spans="1:8" x14ac:dyDescent="0.2">
      <c r="A544" s="32">
        <v>730005</v>
      </c>
      <c r="B544" s="27" t="s">
        <v>1011</v>
      </c>
      <c r="C544" s="55">
        <v>54.4</v>
      </c>
      <c r="D544" s="55">
        <v>24.48</v>
      </c>
      <c r="E544" s="28" t="s">
        <v>954</v>
      </c>
      <c r="F544" s="55">
        <v>22.766400000000001</v>
      </c>
      <c r="G544" s="29">
        <v>44652</v>
      </c>
      <c r="H544" s="30">
        <v>44926</v>
      </c>
    </row>
    <row r="545" spans="1:8" x14ac:dyDescent="0.2">
      <c r="A545" s="32">
        <v>730016</v>
      </c>
      <c r="B545" s="27" t="s">
        <v>1010</v>
      </c>
      <c r="C545" s="55">
        <v>118.3</v>
      </c>
      <c r="D545" s="55">
        <v>53.234999999999999</v>
      </c>
      <c r="E545" s="28" t="s">
        <v>8</v>
      </c>
      <c r="F545" s="55"/>
      <c r="G545" s="29">
        <v>44652</v>
      </c>
      <c r="H545" s="30">
        <v>44926</v>
      </c>
    </row>
    <row r="546" spans="1:8" x14ac:dyDescent="0.2">
      <c r="A546" s="32">
        <v>733001</v>
      </c>
      <c r="B546" s="27" t="s">
        <v>362</v>
      </c>
      <c r="C546" s="55">
        <v>83.75</v>
      </c>
      <c r="D546" s="55">
        <v>37.6875</v>
      </c>
      <c r="E546" s="28" t="s">
        <v>954</v>
      </c>
      <c r="F546" s="55">
        <v>35.049375000000005</v>
      </c>
      <c r="G546" s="29">
        <v>44652</v>
      </c>
      <c r="H546" s="30">
        <v>44926</v>
      </c>
    </row>
    <row r="547" spans="1:8" x14ac:dyDescent="0.2">
      <c r="A547" s="32">
        <v>733003</v>
      </c>
      <c r="B547" s="27" t="s">
        <v>363</v>
      </c>
      <c r="C547" s="55">
        <v>86</v>
      </c>
      <c r="D547" s="55">
        <v>38.700000000000003</v>
      </c>
      <c r="E547" s="28" t="s">
        <v>954</v>
      </c>
      <c r="F547" s="55">
        <v>35.991000000000007</v>
      </c>
      <c r="G547" s="29">
        <v>44652</v>
      </c>
      <c r="H547" s="30">
        <v>44926</v>
      </c>
    </row>
    <row r="548" spans="1:8" x14ac:dyDescent="0.2">
      <c r="A548" s="32">
        <v>733009</v>
      </c>
      <c r="B548" s="27" t="s">
        <v>1271</v>
      </c>
      <c r="C548" s="55">
        <v>124</v>
      </c>
      <c r="D548" s="55">
        <v>55.800000000000004</v>
      </c>
      <c r="E548" s="28" t="s">
        <v>8</v>
      </c>
      <c r="F548" s="55"/>
      <c r="G548" s="29">
        <v>44652</v>
      </c>
      <c r="H548" s="30">
        <v>44926</v>
      </c>
    </row>
    <row r="549" spans="1:8" x14ac:dyDescent="0.2">
      <c r="A549" s="32">
        <v>733010</v>
      </c>
      <c r="B549" s="27" t="s">
        <v>1269</v>
      </c>
      <c r="C549" s="55">
        <v>132</v>
      </c>
      <c r="D549" s="55">
        <v>59.4</v>
      </c>
      <c r="E549" s="28" t="s">
        <v>8</v>
      </c>
      <c r="F549" s="55"/>
      <c r="G549" s="29">
        <v>44652</v>
      </c>
      <c r="H549" s="30">
        <v>44926</v>
      </c>
    </row>
    <row r="550" spans="1:8" x14ac:dyDescent="0.2">
      <c r="A550" s="32">
        <v>733011</v>
      </c>
      <c r="B550" s="27" t="s">
        <v>1273</v>
      </c>
      <c r="C550" s="55">
        <v>93.7</v>
      </c>
      <c r="D550" s="55">
        <v>42.164999999999999</v>
      </c>
      <c r="E550" s="28" t="s">
        <v>954</v>
      </c>
      <c r="F550" s="55">
        <v>39.213450000000002</v>
      </c>
      <c r="G550" s="29">
        <v>44652</v>
      </c>
      <c r="H550" s="30">
        <v>44926</v>
      </c>
    </row>
    <row r="551" spans="1:8" x14ac:dyDescent="0.2">
      <c r="A551" s="32">
        <v>733016</v>
      </c>
      <c r="B551" s="27" t="s">
        <v>1272</v>
      </c>
      <c r="C551" s="55">
        <v>99</v>
      </c>
      <c r="D551" s="55">
        <v>44.550000000000004</v>
      </c>
      <c r="E551" s="28" t="s">
        <v>8</v>
      </c>
      <c r="F551" s="55"/>
      <c r="G551" s="29">
        <v>44652</v>
      </c>
      <c r="H551" s="30">
        <v>44926</v>
      </c>
    </row>
    <row r="552" spans="1:8" x14ac:dyDescent="0.2">
      <c r="A552" s="32">
        <v>733017</v>
      </c>
      <c r="B552" s="27" t="s">
        <v>1270</v>
      </c>
      <c r="C552" s="55">
        <v>117</v>
      </c>
      <c r="D552" s="55">
        <v>52.65</v>
      </c>
      <c r="E552" s="28" t="s">
        <v>8</v>
      </c>
      <c r="F552" s="55"/>
      <c r="G552" s="29">
        <v>44652</v>
      </c>
      <c r="H552" s="30">
        <v>44926</v>
      </c>
    </row>
    <row r="553" spans="1:8" x14ac:dyDescent="0.2">
      <c r="A553" s="32">
        <v>770002</v>
      </c>
      <c r="B553" s="27" t="s">
        <v>364</v>
      </c>
      <c r="C553" s="55">
        <v>55.24</v>
      </c>
      <c r="D553" s="55">
        <v>24.858000000000001</v>
      </c>
      <c r="E553" s="28" t="s">
        <v>954</v>
      </c>
      <c r="F553" s="55">
        <v>23.117940000000001</v>
      </c>
      <c r="G553" s="29">
        <v>44652</v>
      </c>
      <c r="H553" s="30">
        <v>44926</v>
      </c>
    </row>
    <row r="554" spans="1:8" x14ac:dyDescent="0.2">
      <c r="A554" s="32">
        <v>770007</v>
      </c>
      <c r="B554" s="27" t="s">
        <v>1090</v>
      </c>
      <c r="C554" s="55">
        <v>84.2</v>
      </c>
      <c r="D554" s="55">
        <v>37.89</v>
      </c>
      <c r="E554" s="28" t="s">
        <v>954</v>
      </c>
      <c r="F554" s="55">
        <v>35.237700000000004</v>
      </c>
      <c r="G554" s="29">
        <v>44652</v>
      </c>
      <c r="H554" s="30">
        <v>44926</v>
      </c>
    </row>
    <row r="555" spans="1:8" x14ac:dyDescent="0.2">
      <c r="A555" s="32">
        <v>770008</v>
      </c>
      <c r="B555" s="27" t="s">
        <v>365</v>
      </c>
      <c r="C555" s="55">
        <v>94.7</v>
      </c>
      <c r="D555" s="55">
        <v>42.615000000000002</v>
      </c>
      <c r="E555" s="28" t="s">
        <v>954</v>
      </c>
      <c r="F555" s="55">
        <v>39.631950000000003</v>
      </c>
      <c r="G555" s="29">
        <v>44652</v>
      </c>
      <c r="H555" s="30">
        <v>44926</v>
      </c>
    </row>
    <row r="556" spans="1:8" x14ac:dyDescent="0.2">
      <c r="A556" s="32">
        <v>770020</v>
      </c>
      <c r="B556" s="27" t="s">
        <v>366</v>
      </c>
      <c r="C556" s="55">
        <v>131.05000000000001</v>
      </c>
      <c r="D556" s="55">
        <v>58.972500000000004</v>
      </c>
      <c r="E556" s="28" t="s">
        <v>954</v>
      </c>
      <c r="F556" s="55">
        <v>54.844425000000008</v>
      </c>
      <c r="G556" s="29">
        <v>44652</v>
      </c>
      <c r="H556" s="30">
        <v>44926</v>
      </c>
    </row>
    <row r="557" spans="1:8" x14ac:dyDescent="0.2">
      <c r="A557" s="32">
        <v>770022</v>
      </c>
      <c r="B557" s="27" t="s">
        <v>367</v>
      </c>
      <c r="C557" s="55">
        <v>60.56</v>
      </c>
      <c r="D557" s="55">
        <v>27.252000000000002</v>
      </c>
      <c r="E557" s="28" t="s">
        <v>954</v>
      </c>
      <c r="F557" s="55">
        <v>25.344360000000005</v>
      </c>
      <c r="G557" s="29">
        <v>44652</v>
      </c>
      <c r="H557" s="30">
        <v>44926</v>
      </c>
    </row>
    <row r="558" spans="1:8" x14ac:dyDescent="0.2">
      <c r="A558" s="32">
        <v>770024</v>
      </c>
      <c r="B558" s="27" t="s">
        <v>368</v>
      </c>
      <c r="C558" s="55">
        <v>90</v>
      </c>
      <c r="D558" s="55">
        <v>40.5</v>
      </c>
      <c r="E558" s="28" t="s">
        <v>8</v>
      </c>
      <c r="F558" s="55"/>
      <c r="G558" s="29">
        <v>44652</v>
      </c>
      <c r="H558" s="30">
        <v>44926</v>
      </c>
    </row>
    <row r="559" spans="1:8" x14ac:dyDescent="0.2">
      <c r="A559" s="32">
        <v>770026</v>
      </c>
      <c r="B559" s="27" t="s">
        <v>1088</v>
      </c>
      <c r="C559" s="55">
        <v>90</v>
      </c>
      <c r="D559" s="55">
        <v>40.5</v>
      </c>
      <c r="E559" s="28" t="s">
        <v>8</v>
      </c>
      <c r="F559" s="55"/>
      <c r="G559" s="29">
        <v>44652</v>
      </c>
      <c r="H559" s="30">
        <v>44926</v>
      </c>
    </row>
    <row r="560" spans="1:8" x14ac:dyDescent="0.2">
      <c r="A560" s="32">
        <v>773001</v>
      </c>
      <c r="B560" s="27" t="s">
        <v>369</v>
      </c>
      <c r="C560" s="55">
        <v>98.5</v>
      </c>
      <c r="D560" s="55">
        <v>44.325000000000003</v>
      </c>
      <c r="E560" s="28" t="s">
        <v>954</v>
      </c>
      <c r="F560" s="55">
        <v>41.222250000000003</v>
      </c>
      <c r="G560" s="29">
        <v>44652</v>
      </c>
      <c r="H560" s="30">
        <v>44926</v>
      </c>
    </row>
    <row r="561" spans="1:8" x14ac:dyDescent="0.2">
      <c r="A561" s="32">
        <v>773008</v>
      </c>
      <c r="B561" s="27" t="s">
        <v>370</v>
      </c>
      <c r="C561" s="55">
        <v>136</v>
      </c>
      <c r="D561" s="55">
        <v>61.2</v>
      </c>
      <c r="E561" s="28" t="s">
        <v>954</v>
      </c>
      <c r="F561" s="55">
        <v>56.916000000000004</v>
      </c>
      <c r="G561" s="29">
        <v>44652</v>
      </c>
      <c r="H561" s="30">
        <v>44926</v>
      </c>
    </row>
    <row r="562" spans="1:8" x14ac:dyDescent="0.2">
      <c r="A562" s="32">
        <v>773019</v>
      </c>
      <c r="B562" s="27" t="s">
        <v>1341</v>
      </c>
      <c r="C562" s="55">
        <v>157</v>
      </c>
      <c r="D562" s="55">
        <v>70.650000000000006</v>
      </c>
      <c r="E562" s="28" t="s">
        <v>954</v>
      </c>
      <c r="F562" s="55">
        <v>65.70450000000001</v>
      </c>
      <c r="G562" s="29">
        <v>44652</v>
      </c>
      <c r="H562" s="30">
        <v>44926</v>
      </c>
    </row>
    <row r="563" spans="1:8" x14ac:dyDescent="0.2">
      <c r="A563" s="32">
        <v>773020</v>
      </c>
      <c r="B563" s="27" t="s">
        <v>371</v>
      </c>
      <c r="C563" s="55">
        <v>164</v>
      </c>
      <c r="D563" s="55">
        <v>73.8</v>
      </c>
      <c r="E563" s="28" t="s">
        <v>954</v>
      </c>
      <c r="F563" s="55">
        <v>68.634</v>
      </c>
      <c r="G563" s="29">
        <v>44652</v>
      </c>
      <c r="H563" s="30">
        <v>44926</v>
      </c>
    </row>
    <row r="564" spans="1:8" x14ac:dyDescent="0.2">
      <c r="A564" s="32">
        <v>773022</v>
      </c>
      <c r="B564" s="27" t="s">
        <v>372</v>
      </c>
      <c r="C564" s="55">
        <v>103</v>
      </c>
      <c r="D564" s="55">
        <v>46.35</v>
      </c>
      <c r="E564" s="28" t="s">
        <v>954</v>
      </c>
      <c r="F564" s="55">
        <v>43.105500000000006</v>
      </c>
      <c r="G564" s="29">
        <v>44652</v>
      </c>
      <c r="H564" s="30">
        <v>44926</v>
      </c>
    </row>
    <row r="565" spans="1:8" x14ac:dyDescent="0.2">
      <c r="A565" s="32">
        <v>773024</v>
      </c>
      <c r="B565" s="27" t="s">
        <v>1338</v>
      </c>
      <c r="C565" s="55">
        <v>136</v>
      </c>
      <c r="D565" s="55">
        <v>61.2</v>
      </c>
      <c r="E565" s="28" t="s">
        <v>8</v>
      </c>
      <c r="F565" s="55"/>
      <c r="G565" s="29">
        <v>44652</v>
      </c>
      <c r="H565" s="30">
        <v>44926</v>
      </c>
    </row>
    <row r="566" spans="1:8" x14ac:dyDescent="0.2">
      <c r="A566" s="32">
        <v>773026</v>
      </c>
      <c r="B566" s="27" t="s">
        <v>1339</v>
      </c>
      <c r="C566" s="55">
        <v>126</v>
      </c>
      <c r="D566" s="55">
        <v>56.7</v>
      </c>
      <c r="E566" s="28" t="s">
        <v>8</v>
      </c>
      <c r="F566" s="55"/>
      <c r="G566" s="29">
        <v>44652</v>
      </c>
      <c r="H566" s="30">
        <v>44926</v>
      </c>
    </row>
    <row r="567" spans="1:8" x14ac:dyDescent="0.2">
      <c r="A567" s="32">
        <v>780019</v>
      </c>
      <c r="B567" s="27" t="s">
        <v>1089</v>
      </c>
      <c r="C567" s="55">
        <v>76.75</v>
      </c>
      <c r="D567" s="55">
        <v>34.537500000000001</v>
      </c>
      <c r="E567" s="28" t="s">
        <v>954</v>
      </c>
      <c r="F567" s="55">
        <v>32.119875</v>
      </c>
      <c r="G567" s="29">
        <v>44652</v>
      </c>
      <c r="H567" s="30">
        <v>44926</v>
      </c>
    </row>
    <row r="568" spans="1:8" x14ac:dyDescent="0.2">
      <c r="A568" s="32">
        <v>780020</v>
      </c>
      <c r="B568" s="27" t="s">
        <v>373</v>
      </c>
      <c r="C568" s="55">
        <v>82.8</v>
      </c>
      <c r="D568" s="55">
        <v>37.26</v>
      </c>
      <c r="E568" s="28" t="s">
        <v>954</v>
      </c>
      <c r="F568" s="55">
        <v>34.651800000000001</v>
      </c>
      <c r="G568" s="29">
        <v>44652</v>
      </c>
      <c r="H568" s="30">
        <v>44926</v>
      </c>
    </row>
    <row r="569" spans="1:8" x14ac:dyDescent="0.2">
      <c r="A569" s="32">
        <v>780023</v>
      </c>
      <c r="B569" s="27" t="s">
        <v>1091</v>
      </c>
      <c r="C569" s="55">
        <v>88.2</v>
      </c>
      <c r="D569" s="55">
        <v>39.690000000000005</v>
      </c>
      <c r="E569" s="28" t="s">
        <v>954</v>
      </c>
      <c r="F569" s="55">
        <v>36.911700000000003</v>
      </c>
      <c r="G569" s="29">
        <v>44652</v>
      </c>
      <c r="H569" s="30">
        <v>44926</v>
      </c>
    </row>
    <row r="570" spans="1:8" x14ac:dyDescent="0.2">
      <c r="A570" s="32">
        <v>783020</v>
      </c>
      <c r="B570" s="27" t="s">
        <v>1340</v>
      </c>
      <c r="C570" s="55">
        <v>128.5</v>
      </c>
      <c r="D570" s="55">
        <v>57.825000000000003</v>
      </c>
      <c r="E570" s="28" t="s">
        <v>954</v>
      </c>
      <c r="F570" s="55">
        <v>53.777250000000002</v>
      </c>
      <c r="G570" s="29">
        <v>44652</v>
      </c>
      <c r="H570" s="30">
        <v>44926</v>
      </c>
    </row>
    <row r="571" spans="1:8" x14ac:dyDescent="0.2">
      <c r="A571" s="32">
        <v>783027</v>
      </c>
      <c r="B571" s="27" t="s">
        <v>1340</v>
      </c>
      <c r="C571" s="55">
        <v>132</v>
      </c>
      <c r="D571" s="55">
        <v>59.4</v>
      </c>
      <c r="E571" s="28" t="s">
        <v>954</v>
      </c>
      <c r="F571" s="55">
        <v>55.242000000000004</v>
      </c>
      <c r="G571" s="29">
        <v>44652</v>
      </c>
      <c r="H571" s="30">
        <v>44926</v>
      </c>
    </row>
    <row r="572" spans="1:8" x14ac:dyDescent="0.2">
      <c r="A572" s="32">
        <v>820012</v>
      </c>
      <c r="B572" s="27" t="s">
        <v>374</v>
      </c>
      <c r="C572" s="55">
        <v>12.93</v>
      </c>
      <c r="D572" s="55">
        <v>5.8185000000000002</v>
      </c>
      <c r="E572" s="28" t="s">
        <v>960</v>
      </c>
      <c r="F572" s="55">
        <v>5.4112050000000007</v>
      </c>
      <c r="G572" s="29">
        <v>44652</v>
      </c>
      <c r="H572" s="30">
        <v>44926</v>
      </c>
    </row>
    <row r="573" spans="1:8" x14ac:dyDescent="0.2">
      <c r="A573" s="32">
        <v>820015</v>
      </c>
      <c r="B573" s="27" t="s">
        <v>1064</v>
      </c>
      <c r="C573" s="55">
        <v>19.14</v>
      </c>
      <c r="D573" s="55">
        <v>8.6130000000000013</v>
      </c>
      <c r="E573" s="28" t="s">
        <v>960</v>
      </c>
      <c r="F573" s="55">
        <v>8.0100900000000017</v>
      </c>
      <c r="G573" s="29">
        <v>44652</v>
      </c>
      <c r="H573" s="30">
        <v>44926</v>
      </c>
    </row>
    <row r="574" spans="1:8" x14ac:dyDescent="0.2">
      <c r="A574" s="32">
        <v>820317</v>
      </c>
      <c r="B574" s="27" t="s">
        <v>375</v>
      </c>
      <c r="C574" s="55">
        <v>138.726</v>
      </c>
      <c r="D574" s="55">
        <v>62.426700000000004</v>
      </c>
      <c r="E574" s="28" t="s">
        <v>954</v>
      </c>
      <c r="F574" s="55">
        <v>58.05683100000001</v>
      </c>
      <c r="G574" s="29">
        <v>44652</v>
      </c>
      <c r="H574" s="30">
        <v>44926</v>
      </c>
    </row>
    <row r="575" spans="1:8" x14ac:dyDescent="0.2">
      <c r="A575" s="32">
        <v>820319</v>
      </c>
      <c r="B575" s="27" t="s">
        <v>376</v>
      </c>
      <c r="C575" s="55">
        <v>146.54849999999999</v>
      </c>
      <c r="D575" s="55">
        <v>65.946825000000004</v>
      </c>
      <c r="E575" s="28" t="s">
        <v>954</v>
      </c>
      <c r="F575" s="55">
        <v>61.330547250000009</v>
      </c>
      <c r="G575" s="29">
        <v>44652</v>
      </c>
      <c r="H575" s="30">
        <v>44926</v>
      </c>
    </row>
    <row r="576" spans="1:8" x14ac:dyDescent="0.2">
      <c r="A576" s="32">
        <v>830014</v>
      </c>
      <c r="B576" s="27" t="s">
        <v>1053</v>
      </c>
      <c r="C576" s="55">
        <v>89</v>
      </c>
      <c r="D576" s="55">
        <v>40.050000000000004</v>
      </c>
      <c r="E576" s="28"/>
      <c r="F576" s="55">
        <v>37.246500000000005</v>
      </c>
      <c r="G576" s="29">
        <v>44652</v>
      </c>
      <c r="H576" s="30">
        <v>44926</v>
      </c>
    </row>
    <row r="577" spans="1:8" x14ac:dyDescent="0.2">
      <c r="A577" s="32">
        <v>830213</v>
      </c>
      <c r="B577" s="27" t="s">
        <v>377</v>
      </c>
      <c r="C577" s="55">
        <v>180</v>
      </c>
      <c r="D577" s="55">
        <v>81</v>
      </c>
      <c r="E577" s="28" t="s">
        <v>954</v>
      </c>
      <c r="F577" s="55">
        <v>75.33</v>
      </c>
      <c r="G577" s="29">
        <v>44652</v>
      </c>
      <c r="H577" s="30">
        <v>44926</v>
      </c>
    </row>
    <row r="578" spans="1:8" x14ac:dyDescent="0.2">
      <c r="A578" s="32">
        <v>830514</v>
      </c>
      <c r="B578" s="27" t="s">
        <v>378</v>
      </c>
      <c r="C578" s="55">
        <v>291</v>
      </c>
      <c r="D578" s="55">
        <v>130.95000000000002</v>
      </c>
      <c r="E578" s="28" t="s">
        <v>8</v>
      </c>
      <c r="F578" s="55"/>
      <c r="G578" s="29">
        <v>44652</v>
      </c>
      <c r="H578" s="30">
        <v>44926</v>
      </c>
    </row>
    <row r="579" spans="1:8" x14ac:dyDescent="0.2">
      <c r="A579" s="32">
        <v>830518</v>
      </c>
      <c r="B579" s="27" t="s">
        <v>379</v>
      </c>
      <c r="C579" s="55">
        <v>330</v>
      </c>
      <c r="D579" s="55">
        <v>148.5</v>
      </c>
      <c r="E579" s="28" t="s">
        <v>8</v>
      </c>
      <c r="F579" s="55"/>
      <c r="G579" s="29">
        <v>44652</v>
      </c>
      <c r="H579" s="30">
        <v>44926</v>
      </c>
    </row>
    <row r="580" spans="1:8" x14ac:dyDescent="0.2">
      <c r="A580" s="32">
        <v>831011</v>
      </c>
      <c r="B580" s="27" t="s">
        <v>1054</v>
      </c>
      <c r="C580" s="55">
        <v>95</v>
      </c>
      <c r="D580" s="55">
        <v>42.75</v>
      </c>
      <c r="E580" s="28"/>
      <c r="F580" s="55">
        <v>39.7575</v>
      </c>
      <c r="G580" s="29">
        <v>44652</v>
      </c>
      <c r="H580" s="30">
        <v>44926</v>
      </c>
    </row>
    <row r="581" spans="1:8" x14ac:dyDescent="0.2">
      <c r="A581" s="32">
        <v>831213</v>
      </c>
      <c r="B581" s="27" t="s">
        <v>380</v>
      </c>
      <c r="C581" s="55">
        <v>150</v>
      </c>
      <c r="D581" s="55">
        <v>67.5</v>
      </c>
      <c r="E581" s="28" t="s">
        <v>954</v>
      </c>
      <c r="F581" s="55">
        <v>62.775000000000006</v>
      </c>
      <c r="G581" s="29">
        <v>44652</v>
      </c>
      <c r="H581" s="30">
        <v>44926</v>
      </c>
    </row>
    <row r="582" spans="1:8" x14ac:dyDescent="0.2">
      <c r="A582" s="32">
        <v>831516</v>
      </c>
      <c r="B582" s="27" t="s">
        <v>381</v>
      </c>
      <c r="C582" s="55">
        <v>292.11</v>
      </c>
      <c r="D582" s="55">
        <v>131.4495</v>
      </c>
      <c r="E582" s="28" t="s">
        <v>8</v>
      </c>
      <c r="F582" s="55"/>
      <c r="G582" s="29">
        <v>44652</v>
      </c>
      <c r="H582" s="30">
        <v>44926</v>
      </c>
    </row>
    <row r="583" spans="1:8" x14ac:dyDescent="0.2">
      <c r="A583" s="32">
        <v>835001</v>
      </c>
      <c r="B583" s="27" t="s">
        <v>382</v>
      </c>
      <c r="C583" s="55">
        <v>58.3</v>
      </c>
      <c r="D583" s="55">
        <v>26.234999999999999</v>
      </c>
      <c r="E583" s="28" t="s">
        <v>954</v>
      </c>
      <c r="F583" s="55">
        <v>24.39855</v>
      </c>
      <c r="G583" s="29">
        <v>44652</v>
      </c>
      <c r="H583" s="30">
        <v>44926</v>
      </c>
    </row>
    <row r="584" spans="1:8" x14ac:dyDescent="0.2">
      <c r="A584" s="32">
        <v>835003</v>
      </c>
      <c r="B584" s="27" t="s">
        <v>383</v>
      </c>
      <c r="C584" s="55">
        <v>80.5</v>
      </c>
      <c r="D584" s="55">
        <v>36.225000000000001</v>
      </c>
      <c r="E584" s="28" t="s">
        <v>954</v>
      </c>
      <c r="F584" s="55">
        <v>33.689250000000001</v>
      </c>
      <c r="G584" s="29">
        <v>44652</v>
      </c>
      <c r="H584" s="30">
        <v>44926</v>
      </c>
    </row>
    <row r="585" spans="1:8" x14ac:dyDescent="0.2">
      <c r="A585" s="32">
        <v>835005</v>
      </c>
      <c r="B585" s="27" t="s">
        <v>384</v>
      </c>
      <c r="C585" s="55">
        <v>62</v>
      </c>
      <c r="D585" s="55">
        <v>27.900000000000002</v>
      </c>
      <c r="E585" s="28" t="s">
        <v>954</v>
      </c>
      <c r="F585" s="55">
        <v>25.947000000000003</v>
      </c>
      <c r="G585" s="29">
        <v>44652</v>
      </c>
      <c r="H585" s="30">
        <v>44926</v>
      </c>
    </row>
    <row r="586" spans="1:8" x14ac:dyDescent="0.2">
      <c r="A586" s="32">
        <v>835011</v>
      </c>
      <c r="B586" s="27" t="s">
        <v>385</v>
      </c>
      <c r="C586" s="55">
        <v>77.5</v>
      </c>
      <c r="D586" s="55">
        <v>34.875</v>
      </c>
      <c r="E586" s="28" t="s">
        <v>954</v>
      </c>
      <c r="F586" s="55">
        <v>32.433750000000003</v>
      </c>
      <c r="G586" s="29">
        <v>44652</v>
      </c>
      <c r="H586" s="30">
        <v>44926</v>
      </c>
    </row>
    <row r="587" spans="1:8" x14ac:dyDescent="0.2">
      <c r="A587" s="32">
        <v>835013</v>
      </c>
      <c r="B587" s="27" t="s">
        <v>386</v>
      </c>
      <c r="C587" s="55">
        <v>94.2</v>
      </c>
      <c r="D587" s="55">
        <v>42.39</v>
      </c>
      <c r="E587" s="28" t="s">
        <v>954</v>
      </c>
      <c r="F587" s="55">
        <v>39.422700000000006</v>
      </c>
      <c r="G587" s="29">
        <v>44652</v>
      </c>
      <c r="H587" s="30">
        <v>44926</v>
      </c>
    </row>
    <row r="588" spans="1:8" x14ac:dyDescent="0.2">
      <c r="A588" s="32">
        <v>835014</v>
      </c>
      <c r="B588" s="27" t="s">
        <v>387</v>
      </c>
      <c r="C588" s="55">
        <v>73.2</v>
      </c>
      <c r="D588" s="55">
        <v>32.940000000000005</v>
      </c>
      <c r="E588" s="28" t="s">
        <v>954</v>
      </c>
      <c r="F588" s="55">
        <v>30.634200000000007</v>
      </c>
      <c r="G588" s="29">
        <v>44652</v>
      </c>
      <c r="H588" s="30">
        <v>44926</v>
      </c>
    </row>
    <row r="589" spans="1:8" x14ac:dyDescent="0.2">
      <c r="A589" s="32">
        <v>835021</v>
      </c>
      <c r="B589" s="27" t="s">
        <v>388</v>
      </c>
      <c r="C589" s="55">
        <v>82.11</v>
      </c>
      <c r="D589" s="55">
        <v>36.9495</v>
      </c>
      <c r="E589" s="28" t="s">
        <v>954</v>
      </c>
      <c r="F589" s="55">
        <v>34.363035000000004</v>
      </c>
      <c r="G589" s="29">
        <v>44652</v>
      </c>
      <c r="H589" s="30">
        <v>44926</v>
      </c>
    </row>
    <row r="590" spans="1:8" x14ac:dyDescent="0.2">
      <c r="A590" s="32">
        <v>835022</v>
      </c>
      <c r="B590" s="27" t="s">
        <v>389</v>
      </c>
      <c r="C590" s="55">
        <v>99.3</v>
      </c>
      <c r="D590" s="55">
        <v>44.685000000000002</v>
      </c>
      <c r="E590" s="28" t="s">
        <v>954</v>
      </c>
      <c r="F590" s="55">
        <v>41.557050000000004</v>
      </c>
      <c r="G590" s="29">
        <v>44652</v>
      </c>
      <c r="H590" s="30">
        <v>44926</v>
      </c>
    </row>
    <row r="591" spans="1:8" x14ac:dyDescent="0.2">
      <c r="A591" s="32">
        <v>835025</v>
      </c>
      <c r="B591" s="27" t="s">
        <v>390</v>
      </c>
      <c r="C591" s="55">
        <v>92</v>
      </c>
      <c r="D591" s="55">
        <v>41.4</v>
      </c>
      <c r="E591" s="28" t="s">
        <v>954</v>
      </c>
      <c r="F591" s="55">
        <v>38.502000000000002</v>
      </c>
      <c r="G591" s="29">
        <v>44652</v>
      </c>
      <c r="H591" s="30">
        <v>44926</v>
      </c>
    </row>
    <row r="592" spans="1:8" x14ac:dyDescent="0.2">
      <c r="A592" s="32">
        <v>835026</v>
      </c>
      <c r="B592" s="27" t="s">
        <v>391</v>
      </c>
      <c r="C592" s="55">
        <v>115.6</v>
      </c>
      <c r="D592" s="55">
        <v>52.019999999999996</v>
      </c>
      <c r="E592" s="28" t="s">
        <v>954</v>
      </c>
      <c r="F592" s="55">
        <v>48.378599999999999</v>
      </c>
      <c r="G592" s="29">
        <v>44652</v>
      </c>
      <c r="H592" s="30">
        <v>44926</v>
      </c>
    </row>
    <row r="593" spans="1:8" x14ac:dyDescent="0.2">
      <c r="A593" s="32">
        <v>835031</v>
      </c>
      <c r="B593" s="27" t="s">
        <v>1085</v>
      </c>
      <c r="C593" s="55">
        <v>72.2</v>
      </c>
      <c r="D593" s="55">
        <v>32.49</v>
      </c>
      <c r="E593" s="28" t="s">
        <v>954</v>
      </c>
      <c r="F593" s="55">
        <v>30.215700000000002</v>
      </c>
      <c r="G593" s="29">
        <v>44652</v>
      </c>
      <c r="H593" s="30">
        <v>44926</v>
      </c>
    </row>
    <row r="594" spans="1:8" x14ac:dyDescent="0.2">
      <c r="A594" s="32">
        <v>835501</v>
      </c>
      <c r="B594" s="27" t="s">
        <v>392</v>
      </c>
      <c r="C594" s="55">
        <v>264.34800000000001</v>
      </c>
      <c r="D594" s="55">
        <v>118.95660000000001</v>
      </c>
      <c r="E594" s="28" t="s">
        <v>8</v>
      </c>
      <c r="F594" s="55"/>
      <c r="G594" s="29">
        <v>44652</v>
      </c>
      <c r="H594" s="30">
        <v>44926</v>
      </c>
    </row>
    <row r="595" spans="1:8" x14ac:dyDescent="0.2">
      <c r="A595" s="32">
        <v>835503</v>
      </c>
      <c r="B595" s="27" t="s">
        <v>393</v>
      </c>
      <c r="C595" s="55">
        <v>284.45550000000003</v>
      </c>
      <c r="D595" s="55">
        <v>128.00497500000003</v>
      </c>
      <c r="E595" s="28" t="s">
        <v>8</v>
      </c>
      <c r="F595" s="55"/>
      <c r="G595" s="29">
        <v>44652</v>
      </c>
      <c r="H595" s="30">
        <v>44926</v>
      </c>
    </row>
    <row r="596" spans="1:8" x14ac:dyDescent="0.2">
      <c r="A596" s="32">
        <v>835505</v>
      </c>
      <c r="B596" s="27" t="s">
        <v>394</v>
      </c>
      <c r="C596" s="55">
        <v>264.63150000000002</v>
      </c>
      <c r="D596" s="55">
        <v>119.08417500000002</v>
      </c>
      <c r="E596" s="28" t="s">
        <v>8</v>
      </c>
      <c r="F596" s="55"/>
      <c r="G596" s="29">
        <v>44652</v>
      </c>
      <c r="H596" s="30">
        <v>44926</v>
      </c>
    </row>
    <row r="597" spans="1:8" x14ac:dyDescent="0.2">
      <c r="A597" s="32">
        <v>835531</v>
      </c>
      <c r="B597" s="27" t="s">
        <v>395</v>
      </c>
      <c r="C597" s="55">
        <v>264.34800000000001</v>
      </c>
      <c r="D597" s="55">
        <v>118.95660000000001</v>
      </c>
      <c r="E597" s="28" t="s">
        <v>8</v>
      </c>
      <c r="F597" s="55"/>
      <c r="G597" s="29">
        <v>44652</v>
      </c>
      <c r="H597" s="30">
        <v>44926</v>
      </c>
    </row>
    <row r="598" spans="1:8" x14ac:dyDescent="0.2">
      <c r="A598" s="32">
        <v>835535</v>
      </c>
      <c r="B598" s="27" t="s">
        <v>1260</v>
      </c>
      <c r="C598" s="55">
        <v>294.66149999999999</v>
      </c>
      <c r="D598" s="55">
        <v>132.59767500000001</v>
      </c>
      <c r="E598" s="28" t="s">
        <v>8</v>
      </c>
      <c r="F598" s="55"/>
      <c r="G598" s="29">
        <v>44652</v>
      </c>
      <c r="H598" s="30">
        <v>44926</v>
      </c>
    </row>
    <row r="599" spans="1:8" x14ac:dyDescent="0.2">
      <c r="A599" s="32">
        <v>835551</v>
      </c>
      <c r="B599" s="27" t="s">
        <v>396</v>
      </c>
      <c r="C599" s="55">
        <v>294.66149999999999</v>
      </c>
      <c r="D599" s="55">
        <v>132.59767500000001</v>
      </c>
      <c r="E599" s="28" t="s">
        <v>8</v>
      </c>
      <c r="F599" s="55"/>
      <c r="G599" s="29">
        <v>44652</v>
      </c>
      <c r="H599" s="30">
        <v>44926</v>
      </c>
    </row>
    <row r="600" spans="1:8" x14ac:dyDescent="0.2">
      <c r="A600" s="32">
        <v>835563</v>
      </c>
      <c r="B600" s="27" t="s">
        <v>1259</v>
      </c>
      <c r="C600" s="55">
        <v>317.55150000000003</v>
      </c>
      <c r="D600" s="55">
        <v>142.89817500000001</v>
      </c>
      <c r="E600" s="28" t="s">
        <v>8</v>
      </c>
      <c r="F600" s="55"/>
      <c r="G600" s="29">
        <v>44652</v>
      </c>
      <c r="H600" s="30">
        <v>44926</v>
      </c>
    </row>
    <row r="601" spans="1:8" x14ac:dyDescent="0.2">
      <c r="A601" s="32">
        <v>900016</v>
      </c>
      <c r="B601" s="27" t="s">
        <v>1230</v>
      </c>
      <c r="C601" s="55">
        <v>390</v>
      </c>
      <c r="D601" s="55">
        <v>175.5</v>
      </c>
      <c r="E601" s="28" t="s">
        <v>8</v>
      </c>
      <c r="F601" s="55"/>
      <c r="G601" s="29">
        <v>44652</v>
      </c>
      <c r="H601" s="30">
        <v>44926</v>
      </c>
    </row>
    <row r="602" spans="1:8" x14ac:dyDescent="0.2">
      <c r="A602" s="32">
        <v>910100</v>
      </c>
      <c r="B602" s="27" t="s">
        <v>397</v>
      </c>
      <c r="C602" s="55">
        <v>245.24850000000001</v>
      </c>
      <c r="D602" s="55">
        <v>110.36182500000001</v>
      </c>
      <c r="E602" s="28" t="s">
        <v>8</v>
      </c>
      <c r="F602" s="55"/>
      <c r="G602" s="29">
        <v>44652</v>
      </c>
      <c r="H602" s="30">
        <v>44926</v>
      </c>
    </row>
    <row r="603" spans="1:8" x14ac:dyDescent="0.2">
      <c r="A603" s="32">
        <v>910101</v>
      </c>
      <c r="B603" s="27" t="s">
        <v>398</v>
      </c>
      <c r="C603" s="55">
        <v>207.94200000000001</v>
      </c>
      <c r="D603" s="55">
        <v>93.573900000000009</v>
      </c>
      <c r="E603" s="28" t="s">
        <v>8</v>
      </c>
      <c r="F603" s="55"/>
      <c r="G603" s="29">
        <v>44652</v>
      </c>
      <c r="H603" s="30">
        <v>44926</v>
      </c>
    </row>
    <row r="604" spans="1:8" x14ac:dyDescent="0.2">
      <c r="A604" s="32">
        <v>910102</v>
      </c>
      <c r="B604" s="27" t="s">
        <v>399</v>
      </c>
      <c r="C604" s="55">
        <v>209.70600000000002</v>
      </c>
      <c r="D604" s="55">
        <v>94.367700000000013</v>
      </c>
      <c r="E604" s="28" t="s">
        <v>8</v>
      </c>
      <c r="F604" s="55"/>
      <c r="G604" s="29">
        <v>44652</v>
      </c>
      <c r="H604" s="30">
        <v>44926</v>
      </c>
    </row>
    <row r="605" spans="1:8" x14ac:dyDescent="0.2">
      <c r="A605" s="32">
        <v>910106</v>
      </c>
      <c r="B605" s="27" t="s">
        <v>982</v>
      </c>
      <c r="C605" s="55">
        <v>245.61599999999999</v>
      </c>
      <c r="D605" s="55">
        <v>110.52719999999999</v>
      </c>
      <c r="E605" s="28" t="s">
        <v>8</v>
      </c>
      <c r="F605" s="55"/>
      <c r="G605" s="29">
        <v>44652</v>
      </c>
      <c r="H605" s="30">
        <v>44926</v>
      </c>
    </row>
    <row r="606" spans="1:8" x14ac:dyDescent="0.2">
      <c r="A606" s="32">
        <v>910111</v>
      </c>
      <c r="B606" s="27" t="s">
        <v>400</v>
      </c>
      <c r="C606" s="55">
        <v>97.996499999999997</v>
      </c>
      <c r="D606" s="55">
        <v>44.098424999999999</v>
      </c>
      <c r="E606" s="28" t="s">
        <v>8</v>
      </c>
      <c r="F606" s="55"/>
      <c r="G606" s="29">
        <v>44652</v>
      </c>
      <c r="H606" s="30">
        <v>44926</v>
      </c>
    </row>
    <row r="607" spans="1:8" x14ac:dyDescent="0.2">
      <c r="A607" s="32">
        <v>910115</v>
      </c>
      <c r="B607" s="27" t="s">
        <v>401</v>
      </c>
      <c r="C607" s="55">
        <v>137.66550000000001</v>
      </c>
      <c r="D607" s="55">
        <v>61.949475000000007</v>
      </c>
      <c r="E607" s="28" t="s">
        <v>8</v>
      </c>
      <c r="F607" s="55"/>
      <c r="G607" s="29">
        <v>44652</v>
      </c>
      <c r="H607" s="30">
        <v>44926</v>
      </c>
    </row>
    <row r="608" spans="1:8" x14ac:dyDescent="0.2">
      <c r="A608" s="32">
        <v>910124</v>
      </c>
      <c r="B608" s="27" t="s">
        <v>975</v>
      </c>
      <c r="C608" s="55">
        <v>211.7535</v>
      </c>
      <c r="D608" s="55">
        <v>95.289074999999997</v>
      </c>
      <c r="E608" s="28" t="s">
        <v>8</v>
      </c>
      <c r="F608" s="55"/>
      <c r="G608" s="29">
        <v>44652</v>
      </c>
      <c r="H608" s="30">
        <v>44926</v>
      </c>
    </row>
    <row r="609" spans="1:8" x14ac:dyDescent="0.2">
      <c r="A609" s="32">
        <v>910144</v>
      </c>
      <c r="B609" s="27" t="s">
        <v>402</v>
      </c>
      <c r="C609" s="55">
        <v>43.61</v>
      </c>
      <c r="D609" s="55">
        <v>19.624500000000001</v>
      </c>
      <c r="E609" s="28" t="s">
        <v>8</v>
      </c>
      <c r="F609" s="55"/>
      <c r="G609" s="29">
        <v>44652</v>
      </c>
      <c r="H609" s="30">
        <v>44926</v>
      </c>
    </row>
    <row r="610" spans="1:8" x14ac:dyDescent="0.2">
      <c r="A610" s="32">
        <v>910155</v>
      </c>
      <c r="B610" s="27" t="s">
        <v>403</v>
      </c>
      <c r="C610" s="55">
        <v>396.9735</v>
      </c>
      <c r="D610" s="55">
        <v>178.63807500000001</v>
      </c>
      <c r="E610" s="28" t="s">
        <v>8</v>
      </c>
      <c r="F610" s="55"/>
      <c r="G610" s="29">
        <v>44652</v>
      </c>
      <c r="H610" s="30">
        <v>44926</v>
      </c>
    </row>
    <row r="611" spans="1:8" x14ac:dyDescent="0.2">
      <c r="A611" s="32">
        <v>910156</v>
      </c>
      <c r="B611" s="27" t="s">
        <v>404</v>
      </c>
      <c r="C611" s="55">
        <v>166.2045</v>
      </c>
      <c r="D611" s="55">
        <v>74.792024999999995</v>
      </c>
      <c r="E611" s="28" t="s">
        <v>8</v>
      </c>
      <c r="F611" s="55"/>
      <c r="G611" s="29">
        <v>44652</v>
      </c>
      <c r="H611" s="30">
        <v>44926</v>
      </c>
    </row>
    <row r="612" spans="1:8" x14ac:dyDescent="0.2">
      <c r="A612" s="32">
        <v>910165</v>
      </c>
      <c r="B612" s="27" t="s">
        <v>405</v>
      </c>
      <c r="C612" s="55">
        <v>81.38</v>
      </c>
      <c r="D612" s="55">
        <v>36.621000000000002</v>
      </c>
      <c r="E612" s="28" t="s">
        <v>8</v>
      </c>
      <c r="F612" s="55"/>
      <c r="G612" s="29">
        <v>44652</v>
      </c>
      <c r="H612" s="30">
        <v>44926</v>
      </c>
    </row>
    <row r="613" spans="1:8" x14ac:dyDescent="0.2">
      <c r="A613" s="32">
        <v>910166</v>
      </c>
      <c r="B613" s="27" t="s">
        <v>406</v>
      </c>
      <c r="C613" s="55">
        <v>239.36850000000001</v>
      </c>
      <c r="D613" s="55">
        <v>107.71582500000001</v>
      </c>
      <c r="E613" s="28" t="s">
        <v>8</v>
      </c>
      <c r="F613" s="55"/>
      <c r="G613" s="29">
        <v>44652</v>
      </c>
      <c r="H613" s="30">
        <v>44926</v>
      </c>
    </row>
    <row r="614" spans="1:8" x14ac:dyDescent="0.2">
      <c r="A614" s="32">
        <v>910167</v>
      </c>
      <c r="B614" s="27" t="s">
        <v>407</v>
      </c>
      <c r="C614" s="55">
        <v>167.29</v>
      </c>
      <c r="D614" s="55">
        <v>75.280500000000004</v>
      </c>
      <c r="E614" s="28" t="s">
        <v>8</v>
      </c>
      <c r="F614" s="55"/>
      <c r="G614" s="29">
        <v>44652</v>
      </c>
      <c r="H614" s="30">
        <v>44926</v>
      </c>
    </row>
    <row r="615" spans="1:8" x14ac:dyDescent="0.2">
      <c r="A615" s="32">
        <v>910169</v>
      </c>
      <c r="B615" s="27" t="s">
        <v>408</v>
      </c>
      <c r="C615" s="55">
        <v>42.34</v>
      </c>
      <c r="D615" s="55">
        <v>19.053000000000001</v>
      </c>
      <c r="E615" s="28" t="s">
        <v>8</v>
      </c>
      <c r="F615" s="55"/>
      <c r="G615" s="29">
        <v>44652</v>
      </c>
      <c r="H615" s="30">
        <v>44926</v>
      </c>
    </row>
    <row r="616" spans="1:8" x14ac:dyDescent="0.2">
      <c r="A616" s="32">
        <v>910177</v>
      </c>
      <c r="B616" s="27" t="s">
        <v>409</v>
      </c>
      <c r="C616" s="55">
        <v>13.723500000000001</v>
      </c>
      <c r="D616" s="55">
        <v>6.1755750000000011</v>
      </c>
      <c r="E616" s="28" t="s">
        <v>8</v>
      </c>
      <c r="F616" s="55"/>
      <c r="G616" s="29">
        <v>44652</v>
      </c>
      <c r="H616" s="30">
        <v>44926</v>
      </c>
    </row>
    <row r="617" spans="1:8" x14ac:dyDescent="0.2">
      <c r="A617" s="32">
        <v>920013</v>
      </c>
      <c r="B617" s="27" t="s">
        <v>410</v>
      </c>
      <c r="C617" s="55">
        <v>8.3580000000000005</v>
      </c>
      <c r="D617" s="55">
        <v>3.7611000000000003</v>
      </c>
      <c r="E617" s="28" t="s">
        <v>960</v>
      </c>
      <c r="F617" s="55">
        <v>3.4978230000000003</v>
      </c>
      <c r="G617" s="29">
        <v>44652</v>
      </c>
      <c r="H617" s="30">
        <v>44926</v>
      </c>
    </row>
    <row r="618" spans="1:8" x14ac:dyDescent="0.2">
      <c r="A618" s="32">
        <v>920015</v>
      </c>
      <c r="B618" s="27" t="s">
        <v>411</v>
      </c>
      <c r="C618" s="55">
        <v>7.9905000000000008</v>
      </c>
      <c r="D618" s="55">
        <v>3.5957250000000003</v>
      </c>
      <c r="E618" s="28" t="s">
        <v>960</v>
      </c>
      <c r="F618" s="55">
        <v>3.3440242500000004</v>
      </c>
      <c r="G618" s="29">
        <v>44652</v>
      </c>
      <c r="H618" s="30">
        <v>44926</v>
      </c>
    </row>
    <row r="619" spans="1:8" x14ac:dyDescent="0.2">
      <c r="A619" s="32">
        <v>920019</v>
      </c>
      <c r="B619" s="27" t="s">
        <v>412</v>
      </c>
      <c r="C619" s="55">
        <v>2.8560000000000003</v>
      </c>
      <c r="D619" s="55">
        <v>1.2852000000000001</v>
      </c>
      <c r="E619" s="28" t="s">
        <v>954</v>
      </c>
      <c r="F619" s="55">
        <v>1.1952360000000002</v>
      </c>
      <c r="G619" s="29">
        <v>44652</v>
      </c>
      <c r="H619" s="30">
        <v>44926</v>
      </c>
    </row>
    <row r="620" spans="1:8" x14ac:dyDescent="0.2">
      <c r="A620" s="32">
        <v>920023</v>
      </c>
      <c r="B620" s="27" t="s">
        <v>413</v>
      </c>
      <c r="C620" s="55">
        <v>1.2075</v>
      </c>
      <c r="D620" s="55">
        <v>0.54337500000000005</v>
      </c>
      <c r="E620" s="28" t="s">
        <v>954</v>
      </c>
      <c r="F620" s="55">
        <v>0.50533875000000006</v>
      </c>
      <c r="G620" s="29">
        <v>44652</v>
      </c>
      <c r="H620" s="30">
        <v>44926</v>
      </c>
    </row>
    <row r="621" spans="1:8" x14ac:dyDescent="0.2">
      <c r="A621" s="32">
        <v>920026</v>
      </c>
      <c r="B621" s="27" t="s">
        <v>414</v>
      </c>
      <c r="C621" s="55">
        <v>22.449000000000002</v>
      </c>
      <c r="D621" s="55">
        <v>10.10205</v>
      </c>
      <c r="E621" s="28" t="s">
        <v>954</v>
      </c>
      <c r="F621" s="55">
        <v>9.3949065000000012</v>
      </c>
      <c r="G621" s="29">
        <v>44652</v>
      </c>
      <c r="H621" s="30">
        <v>44926</v>
      </c>
    </row>
    <row r="622" spans="1:8" x14ac:dyDescent="0.2">
      <c r="A622" s="32">
        <v>920028</v>
      </c>
      <c r="B622" s="27" t="s">
        <v>415</v>
      </c>
      <c r="C622" s="55">
        <v>9.240000000000002</v>
      </c>
      <c r="D622" s="55">
        <v>4.1580000000000013</v>
      </c>
      <c r="E622" s="28" t="s">
        <v>954</v>
      </c>
      <c r="F622" s="55">
        <v>3.8669400000000014</v>
      </c>
      <c r="G622" s="29">
        <v>44652</v>
      </c>
      <c r="H622" s="30">
        <v>44926</v>
      </c>
    </row>
    <row r="623" spans="1:8" x14ac:dyDescent="0.2">
      <c r="A623" s="32">
        <v>920029</v>
      </c>
      <c r="B623" s="27" t="s">
        <v>416</v>
      </c>
      <c r="C623" s="55">
        <v>23</v>
      </c>
      <c r="D623" s="55">
        <v>10.35</v>
      </c>
      <c r="E623" s="28" t="s">
        <v>8</v>
      </c>
      <c r="F623" s="55">
        <v>9.6255000000000006</v>
      </c>
      <c r="G623" s="29">
        <v>44652</v>
      </c>
      <c r="H623" s="30">
        <v>44926</v>
      </c>
    </row>
    <row r="624" spans="1:8" x14ac:dyDescent="0.2">
      <c r="A624" s="32">
        <v>920030</v>
      </c>
      <c r="B624" s="27" t="s">
        <v>417</v>
      </c>
      <c r="C624" s="55">
        <v>29.662500000000001</v>
      </c>
      <c r="D624" s="55">
        <v>13.348125000000001</v>
      </c>
      <c r="E624" s="28" t="s">
        <v>954</v>
      </c>
      <c r="F624" s="55">
        <v>12.413756250000002</v>
      </c>
      <c r="G624" s="29">
        <v>44652</v>
      </c>
      <c r="H624" s="30">
        <v>44926</v>
      </c>
    </row>
    <row r="625" spans="1:8" x14ac:dyDescent="0.2">
      <c r="A625" s="32">
        <v>920032</v>
      </c>
      <c r="B625" s="27" t="s">
        <v>418</v>
      </c>
      <c r="C625" s="55">
        <v>60.900000000000006</v>
      </c>
      <c r="D625" s="55">
        <v>27.405000000000005</v>
      </c>
      <c r="E625" s="28" t="s">
        <v>954</v>
      </c>
      <c r="F625" s="55">
        <v>25.486650000000004</v>
      </c>
      <c r="G625" s="29">
        <v>44652</v>
      </c>
      <c r="H625" s="30">
        <v>44926</v>
      </c>
    </row>
    <row r="626" spans="1:8" x14ac:dyDescent="0.2">
      <c r="A626" s="32">
        <v>920038</v>
      </c>
      <c r="B626" s="27" t="s">
        <v>419</v>
      </c>
      <c r="C626" s="55">
        <v>8.19</v>
      </c>
      <c r="D626" s="55">
        <v>3.6854999999999998</v>
      </c>
      <c r="E626" s="28" t="s">
        <v>954</v>
      </c>
      <c r="F626" s="55">
        <v>3.4275150000000001</v>
      </c>
      <c r="G626" s="29">
        <v>44652</v>
      </c>
      <c r="H626" s="30">
        <v>44926</v>
      </c>
    </row>
    <row r="627" spans="1:8" x14ac:dyDescent="0.2">
      <c r="A627" s="32">
        <v>920039</v>
      </c>
      <c r="B627" s="27" t="s">
        <v>420</v>
      </c>
      <c r="C627" s="55">
        <v>13.566000000000001</v>
      </c>
      <c r="D627" s="55">
        <v>6.1047000000000002</v>
      </c>
      <c r="E627" s="28" t="s">
        <v>954</v>
      </c>
      <c r="F627" s="55">
        <v>5.6773710000000008</v>
      </c>
      <c r="G627" s="29">
        <v>44652</v>
      </c>
      <c r="H627" s="30">
        <v>44926</v>
      </c>
    </row>
    <row r="628" spans="1:8" x14ac:dyDescent="0.2">
      <c r="A628" s="32">
        <v>920042</v>
      </c>
      <c r="B628" s="27" t="s">
        <v>1232</v>
      </c>
      <c r="C628" s="55">
        <v>38.073</v>
      </c>
      <c r="D628" s="55">
        <v>17.132850000000001</v>
      </c>
      <c r="E628" s="28" t="s">
        <v>8</v>
      </c>
      <c r="F628" s="55"/>
      <c r="G628" s="29">
        <v>44652</v>
      </c>
      <c r="H628" s="30">
        <v>44926</v>
      </c>
    </row>
    <row r="629" spans="1:8" x14ac:dyDescent="0.2">
      <c r="A629" s="32">
        <v>920043</v>
      </c>
      <c r="B629" s="27" t="s">
        <v>421</v>
      </c>
      <c r="C629" s="55">
        <v>1.0289999999999999</v>
      </c>
      <c r="D629" s="55">
        <v>0.46304999999999996</v>
      </c>
      <c r="E629" s="28" t="s">
        <v>960</v>
      </c>
      <c r="F629" s="55">
        <v>0.43063649999999998</v>
      </c>
      <c r="G629" s="29">
        <v>44652</v>
      </c>
      <c r="H629" s="30">
        <v>44926</v>
      </c>
    </row>
    <row r="630" spans="1:8" x14ac:dyDescent="0.2">
      <c r="A630" s="32">
        <v>920044</v>
      </c>
      <c r="B630" s="27" t="s">
        <v>422</v>
      </c>
      <c r="C630" s="55">
        <v>1.302</v>
      </c>
      <c r="D630" s="55">
        <v>0.58590000000000009</v>
      </c>
      <c r="E630" s="28" t="s">
        <v>960</v>
      </c>
      <c r="F630" s="55">
        <v>0.54488700000000012</v>
      </c>
      <c r="G630" s="29">
        <v>44652</v>
      </c>
      <c r="H630" s="30">
        <v>44926</v>
      </c>
    </row>
    <row r="631" spans="1:8" x14ac:dyDescent="0.2">
      <c r="A631" s="32">
        <v>920045</v>
      </c>
      <c r="B631" s="27" t="s">
        <v>423</v>
      </c>
      <c r="C631" s="55">
        <v>0.97650000000000015</v>
      </c>
      <c r="D631" s="55">
        <v>0.43942500000000007</v>
      </c>
      <c r="E631" s="28" t="s">
        <v>960</v>
      </c>
      <c r="F631" s="55">
        <v>0.40866525000000009</v>
      </c>
      <c r="G631" s="29">
        <v>44652</v>
      </c>
      <c r="H631" s="30">
        <v>44926</v>
      </c>
    </row>
    <row r="632" spans="1:8" x14ac:dyDescent="0.2">
      <c r="A632" s="32">
        <v>920046</v>
      </c>
      <c r="B632" s="27" t="s">
        <v>424</v>
      </c>
      <c r="C632" s="55">
        <v>1.2284999999999999</v>
      </c>
      <c r="D632" s="55">
        <v>0.55282500000000001</v>
      </c>
      <c r="E632" s="28" t="s">
        <v>960</v>
      </c>
      <c r="F632" s="55">
        <v>0.51412725000000004</v>
      </c>
      <c r="G632" s="29">
        <v>44652</v>
      </c>
      <c r="H632" s="30">
        <v>44926</v>
      </c>
    </row>
    <row r="633" spans="1:8" x14ac:dyDescent="0.2">
      <c r="A633" s="32">
        <v>920047</v>
      </c>
      <c r="B633" s="27" t="s">
        <v>425</v>
      </c>
      <c r="C633" s="55">
        <v>0.43049999999999999</v>
      </c>
      <c r="D633" s="55">
        <v>0.19372500000000001</v>
      </c>
      <c r="E633" s="28" t="s">
        <v>960</v>
      </c>
      <c r="F633" s="55">
        <v>0.18016425000000003</v>
      </c>
      <c r="G633" s="29">
        <v>44652</v>
      </c>
      <c r="H633" s="30">
        <v>44926</v>
      </c>
    </row>
    <row r="634" spans="1:8" x14ac:dyDescent="0.2">
      <c r="A634" s="26">
        <v>920048</v>
      </c>
      <c r="B634" s="27" t="s">
        <v>426</v>
      </c>
      <c r="C634" s="55">
        <v>2.3310000000000004</v>
      </c>
      <c r="D634" s="55">
        <v>1.0489500000000003</v>
      </c>
      <c r="E634" s="28" t="s">
        <v>954</v>
      </c>
      <c r="F634" s="55">
        <v>0.97552350000000032</v>
      </c>
      <c r="G634" s="29">
        <v>44652</v>
      </c>
      <c r="H634" s="30">
        <v>44926</v>
      </c>
    </row>
    <row r="635" spans="1:8" x14ac:dyDescent="0.2">
      <c r="A635" s="26">
        <v>920049</v>
      </c>
      <c r="B635" s="27" t="s">
        <v>427</v>
      </c>
      <c r="C635" s="55">
        <v>2.3310000000000004</v>
      </c>
      <c r="D635" s="55">
        <v>1.0489500000000003</v>
      </c>
      <c r="E635" s="28" t="s">
        <v>960</v>
      </c>
      <c r="F635" s="55">
        <v>0.97552350000000032</v>
      </c>
      <c r="G635" s="29">
        <v>44652</v>
      </c>
      <c r="H635" s="30">
        <v>44926</v>
      </c>
    </row>
    <row r="636" spans="1:8" x14ac:dyDescent="0.2">
      <c r="A636" s="26">
        <v>920050</v>
      </c>
      <c r="B636" s="27" t="s">
        <v>428</v>
      </c>
      <c r="C636" s="55">
        <v>2.3310000000000004</v>
      </c>
      <c r="D636" s="55">
        <v>1.0489500000000003</v>
      </c>
      <c r="E636" s="28" t="s">
        <v>960</v>
      </c>
      <c r="F636" s="55">
        <v>0.97552350000000032</v>
      </c>
      <c r="G636" s="29">
        <v>44652</v>
      </c>
      <c r="H636" s="30">
        <v>44926</v>
      </c>
    </row>
    <row r="637" spans="1:8" x14ac:dyDescent="0.2">
      <c r="A637" s="32">
        <v>920051</v>
      </c>
      <c r="B637" s="27" t="s">
        <v>429</v>
      </c>
      <c r="C637" s="55">
        <v>0.92400000000000004</v>
      </c>
      <c r="D637" s="55">
        <v>0.4158</v>
      </c>
      <c r="E637" s="28" t="s">
        <v>961</v>
      </c>
      <c r="F637" s="55">
        <v>0.38669400000000004</v>
      </c>
      <c r="G637" s="29">
        <v>44652</v>
      </c>
      <c r="H637" s="30">
        <v>44926</v>
      </c>
    </row>
    <row r="638" spans="1:8" x14ac:dyDescent="0.2">
      <c r="A638" s="26">
        <v>920053</v>
      </c>
      <c r="B638" s="27" t="s">
        <v>430</v>
      </c>
      <c r="C638" s="55">
        <v>5</v>
      </c>
      <c r="D638" s="55">
        <v>2.25</v>
      </c>
      <c r="E638" s="28" t="s">
        <v>960</v>
      </c>
      <c r="F638" s="55">
        <v>2.0925000000000002</v>
      </c>
      <c r="G638" s="29">
        <v>44652</v>
      </c>
      <c r="H638" s="30">
        <v>44926</v>
      </c>
    </row>
    <row r="639" spans="1:8" x14ac:dyDescent="0.2">
      <c r="A639" s="26">
        <v>920054</v>
      </c>
      <c r="B639" s="27" t="s">
        <v>431</v>
      </c>
      <c r="C639" s="55">
        <v>3.34</v>
      </c>
      <c r="D639" s="55">
        <v>1.5029999999999999</v>
      </c>
      <c r="E639" s="28" t="s">
        <v>960</v>
      </c>
      <c r="F639" s="55">
        <v>1.3977899999999999</v>
      </c>
      <c r="G639" s="29">
        <v>44652</v>
      </c>
      <c r="H639" s="30">
        <v>44926</v>
      </c>
    </row>
    <row r="640" spans="1:8" x14ac:dyDescent="0.2">
      <c r="A640" s="32">
        <v>920056</v>
      </c>
      <c r="B640" s="27" t="s">
        <v>432</v>
      </c>
      <c r="C640" s="55">
        <v>1.9</v>
      </c>
      <c r="D640" s="55">
        <v>0.85499999999999998</v>
      </c>
      <c r="E640" s="28" t="s">
        <v>960</v>
      </c>
      <c r="F640" s="55">
        <v>0.79515000000000002</v>
      </c>
      <c r="G640" s="29">
        <v>44652</v>
      </c>
      <c r="H640" s="30">
        <v>44926</v>
      </c>
    </row>
    <row r="641" spans="1:8" x14ac:dyDescent="0.2">
      <c r="A641" s="26">
        <v>920057</v>
      </c>
      <c r="B641" s="27" t="s">
        <v>959</v>
      </c>
      <c r="C641" s="55">
        <v>4.5990000000000002</v>
      </c>
      <c r="D641" s="55">
        <v>2.06955</v>
      </c>
      <c r="E641" s="28" t="s">
        <v>954</v>
      </c>
      <c r="F641" s="55">
        <v>1.9246815000000002</v>
      </c>
      <c r="G641" s="29">
        <v>44652</v>
      </c>
      <c r="H641" s="30">
        <v>44926</v>
      </c>
    </row>
    <row r="642" spans="1:8" x14ac:dyDescent="0.2">
      <c r="A642" s="26">
        <v>920058</v>
      </c>
      <c r="B642" s="27" t="s">
        <v>433</v>
      </c>
      <c r="C642" s="55">
        <v>4.5990000000000002</v>
      </c>
      <c r="D642" s="55">
        <v>2.06955</v>
      </c>
      <c r="E642" s="28" t="s">
        <v>954</v>
      </c>
      <c r="F642" s="55">
        <v>1.9246815000000002</v>
      </c>
      <c r="G642" s="29">
        <v>44652</v>
      </c>
      <c r="H642" s="30">
        <v>44926</v>
      </c>
    </row>
    <row r="643" spans="1:8" x14ac:dyDescent="0.2">
      <c r="A643" s="26">
        <v>920059</v>
      </c>
      <c r="B643" s="27" t="s">
        <v>434</v>
      </c>
      <c r="C643" s="55">
        <v>4.5990000000000002</v>
      </c>
      <c r="D643" s="55">
        <v>2.06955</v>
      </c>
      <c r="E643" s="28" t="s">
        <v>954</v>
      </c>
      <c r="F643" s="55">
        <v>1.9246815000000002</v>
      </c>
      <c r="G643" s="29">
        <v>44652</v>
      </c>
      <c r="H643" s="30">
        <v>44926</v>
      </c>
    </row>
    <row r="644" spans="1:8" x14ac:dyDescent="0.2">
      <c r="A644" s="32">
        <v>920060</v>
      </c>
      <c r="B644" s="27" t="s">
        <v>435</v>
      </c>
      <c r="C644" s="55">
        <v>0.97650000000000015</v>
      </c>
      <c r="D644" s="55">
        <v>0.43942500000000007</v>
      </c>
      <c r="E644" s="28" t="s">
        <v>961</v>
      </c>
      <c r="F644" s="55">
        <v>0.40866525000000009</v>
      </c>
      <c r="G644" s="29">
        <v>44652</v>
      </c>
      <c r="H644" s="30">
        <v>44926</v>
      </c>
    </row>
    <row r="645" spans="1:8" x14ac:dyDescent="0.2">
      <c r="A645" s="32">
        <v>920062</v>
      </c>
      <c r="B645" s="27" t="s">
        <v>436</v>
      </c>
      <c r="C645" s="55">
        <v>33.5</v>
      </c>
      <c r="D645" s="55">
        <v>15.075000000000001</v>
      </c>
      <c r="E645" s="28" t="s">
        <v>8</v>
      </c>
      <c r="F645" s="55"/>
      <c r="G645" s="29">
        <v>44652</v>
      </c>
      <c r="H645" s="30">
        <v>44926</v>
      </c>
    </row>
    <row r="646" spans="1:8" x14ac:dyDescent="0.2">
      <c r="A646" s="32">
        <v>920063</v>
      </c>
      <c r="B646" s="27" t="s">
        <v>437</v>
      </c>
      <c r="C646" s="55">
        <v>17.739999999999998</v>
      </c>
      <c r="D646" s="55">
        <v>7.9829999999999997</v>
      </c>
      <c r="E646" s="28" t="s">
        <v>954</v>
      </c>
      <c r="F646" s="55">
        <v>7.4241900000000003</v>
      </c>
      <c r="G646" s="29">
        <v>44652</v>
      </c>
      <c r="H646" s="30">
        <v>44926</v>
      </c>
    </row>
    <row r="647" spans="1:8" x14ac:dyDescent="0.2">
      <c r="A647" s="32">
        <v>920067</v>
      </c>
      <c r="B647" s="27" t="s">
        <v>438</v>
      </c>
      <c r="C647" s="55">
        <v>19.850000000000001</v>
      </c>
      <c r="D647" s="55">
        <v>8.932500000000001</v>
      </c>
      <c r="E647" s="28" t="s">
        <v>8</v>
      </c>
      <c r="F647" s="55"/>
      <c r="G647" s="29">
        <v>44652</v>
      </c>
      <c r="H647" s="30">
        <v>44926</v>
      </c>
    </row>
    <row r="648" spans="1:8" x14ac:dyDescent="0.2">
      <c r="A648" s="32">
        <v>920068</v>
      </c>
      <c r="B648" s="27" t="s">
        <v>1215</v>
      </c>
      <c r="C648" s="55">
        <v>86</v>
      </c>
      <c r="D648" s="55">
        <v>38.700000000000003</v>
      </c>
      <c r="E648" s="28" t="s">
        <v>8</v>
      </c>
      <c r="F648" s="55"/>
      <c r="G648" s="29">
        <v>44652</v>
      </c>
      <c r="H648" s="30">
        <v>44926</v>
      </c>
    </row>
    <row r="649" spans="1:8" x14ac:dyDescent="0.2">
      <c r="A649" s="32">
        <v>920071</v>
      </c>
      <c r="B649" s="27" t="s">
        <v>439</v>
      </c>
      <c r="C649" s="55">
        <v>21.451499999999999</v>
      </c>
      <c r="D649" s="55">
        <v>9.6531749999999992</v>
      </c>
      <c r="E649" s="28" t="s">
        <v>954</v>
      </c>
      <c r="F649" s="55">
        <v>8.9774527499999994</v>
      </c>
      <c r="G649" s="29">
        <v>44652</v>
      </c>
      <c r="H649" s="30">
        <v>44926</v>
      </c>
    </row>
    <row r="650" spans="1:8" x14ac:dyDescent="0.2">
      <c r="A650" s="32">
        <v>920073</v>
      </c>
      <c r="B650" s="27" t="s">
        <v>440</v>
      </c>
      <c r="C650" s="55">
        <v>0.70350000000000013</v>
      </c>
      <c r="D650" s="55">
        <v>0.31657500000000005</v>
      </c>
      <c r="E650" s="28" t="s">
        <v>960</v>
      </c>
      <c r="F650" s="55">
        <v>0.29441475000000006</v>
      </c>
      <c r="G650" s="29">
        <v>44652</v>
      </c>
      <c r="H650" s="30">
        <v>44926</v>
      </c>
    </row>
    <row r="651" spans="1:8" x14ac:dyDescent="0.2">
      <c r="A651" s="32">
        <v>920075</v>
      </c>
      <c r="B651" s="27" t="s">
        <v>441</v>
      </c>
      <c r="C651" s="55">
        <v>4.8930000000000007</v>
      </c>
      <c r="D651" s="55">
        <v>2.2018500000000003</v>
      </c>
      <c r="E651" s="28" t="s">
        <v>954</v>
      </c>
      <c r="F651" s="55">
        <v>2.0477205000000005</v>
      </c>
      <c r="G651" s="29">
        <v>44652</v>
      </c>
      <c r="H651" s="30">
        <v>44926</v>
      </c>
    </row>
    <row r="652" spans="1:8" x14ac:dyDescent="0.2">
      <c r="A652" s="32">
        <v>920076</v>
      </c>
      <c r="B652" s="27" t="s">
        <v>442</v>
      </c>
      <c r="C652" s="55">
        <v>4.5885000000000007</v>
      </c>
      <c r="D652" s="55">
        <v>2.0648250000000004</v>
      </c>
      <c r="E652" s="28" t="s">
        <v>954</v>
      </c>
      <c r="F652" s="55">
        <v>1.9202872500000003</v>
      </c>
      <c r="G652" s="29">
        <v>44652</v>
      </c>
      <c r="H652" s="30">
        <v>44926</v>
      </c>
    </row>
    <row r="653" spans="1:8" x14ac:dyDescent="0.2">
      <c r="A653" s="32">
        <v>920077</v>
      </c>
      <c r="B653" s="27" t="s">
        <v>443</v>
      </c>
      <c r="C653" s="55">
        <v>9.8805000000000014</v>
      </c>
      <c r="D653" s="55">
        <v>4.446225000000001</v>
      </c>
      <c r="E653" s="28" t="s">
        <v>954</v>
      </c>
      <c r="F653" s="55">
        <v>4.1349892500000012</v>
      </c>
      <c r="G653" s="29">
        <v>44652</v>
      </c>
      <c r="H653" s="30">
        <v>44926</v>
      </c>
    </row>
    <row r="654" spans="1:8" x14ac:dyDescent="0.2">
      <c r="A654" s="32">
        <v>920078</v>
      </c>
      <c r="B654" s="27" t="s">
        <v>444</v>
      </c>
      <c r="C654" s="55">
        <v>13.314</v>
      </c>
      <c r="D654" s="55">
        <v>5.9912999999999998</v>
      </c>
      <c r="E654" s="28" t="s">
        <v>954</v>
      </c>
      <c r="F654" s="55">
        <v>5.5719089999999998</v>
      </c>
      <c r="G654" s="29">
        <v>44652</v>
      </c>
      <c r="H654" s="30">
        <v>44926</v>
      </c>
    </row>
    <row r="655" spans="1:8" x14ac:dyDescent="0.2">
      <c r="A655" s="32">
        <v>920079</v>
      </c>
      <c r="B655" s="27" t="s">
        <v>445</v>
      </c>
      <c r="C655" s="55">
        <v>1.6275000000000002</v>
      </c>
      <c r="D655" s="55">
        <v>0.73237500000000011</v>
      </c>
      <c r="E655" s="28" t="s">
        <v>961</v>
      </c>
      <c r="F655" s="55">
        <v>0.68110875000000015</v>
      </c>
      <c r="G655" s="29">
        <v>44652</v>
      </c>
      <c r="H655" s="30">
        <v>44926</v>
      </c>
    </row>
    <row r="656" spans="1:8" x14ac:dyDescent="0.2">
      <c r="A656" s="26">
        <v>920080</v>
      </c>
      <c r="B656" s="27" t="s">
        <v>446</v>
      </c>
      <c r="C656" s="55">
        <v>1.6170000000000002</v>
      </c>
      <c r="D656" s="55">
        <v>0.72765000000000013</v>
      </c>
      <c r="E656" s="28" t="s">
        <v>961</v>
      </c>
      <c r="F656" s="55">
        <v>0.67671450000000011</v>
      </c>
      <c r="G656" s="29">
        <v>44652</v>
      </c>
      <c r="H656" s="30">
        <v>44926</v>
      </c>
    </row>
    <row r="657" spans="1:8" x14ac:dyDescent="0.2">
      <c r="A657" s="26">
        <v>920081</v>
      </c>
      <c r="B657" s="27" t="s">
        <v>447</v>
      </c>
      <c r="C657" s="55">
        <v>2.6460000000000004</v>
      </c>
      <c r="D657" s="55">
        <v>1.1907000000000001</v>
      </c>
      <c r="E657" s="28" t="s">
        <v>961</v>
      </c>
      <c r="F657" s="55">
        <v>1.1073510000000002</v>
      </c>
      <c r="G657" s="29">
        <v>44652</v>
      </c>
      <c r="H657" s="30">
        <v>44926</v>
      </c>
    </row>
    <row r="658" spans="1:8" x14ac:dyDescent="0.2">
      <c r="A658" s="26">
        <v>920082</v>
      </c>
      <c r="B658" s="27" t="s">
        <v>448</v>
      </c>
      <c r="C658" s="55">
        <v>2.94</v>
      </c>
      <c r="D658" s="55">
        <v>1.323</v>
      </c>
      <c r="E658" s="28" t="s">
        <v>961</v>
      </c>
      <c r="F658" s="55">
        <v>1.2303900000000001</v>
      </c>
      <c r="G658" s="29">
        <v>44652</v>
      </c>
      <c r="H658" s="30">
        <v>44926</v>
      </c>
    </row>
    <row r="659" spans="1:8" x14ac:dyDescent="0.2">
      <c r="A659" s="26">
        <v>920083</v>
      </c>
      <c r="B659" s="27" t="s">
        <v>449</v>
      </c>
      <c r="C659" s="55">
        <v>1.9215000000000002</v>
      </c>
      <c r="D659" s="55">
        <v>0.86467500000000008</v>
      </c>
      <c r="E659" s="28" t="s">
        <v>961</v>
      </c>
      <c r="F659" s="55">
        <v>0.80414775000000016</v>
      </c>
      <c r="G659" s="29">
        <v>44652</v>
      </c>
      <c r="H659" s="30">
        <v>44926</v>
      </c>
    </row>
    <row r="660" spans="1:8" x14ac:dyDescent="0.2">
      <c r="A660" s="26">
        <v>920084</v>
      </c>
      <c r="B660" s="27" t="s">
        <v>450</v>
      </c>
      <c r="C660" s="55">
        <v>1.9215000000000002</v>
      </c>
      <c r="D660" s="55">
        <v>0.86467500000000008</v>
      </c>
      <c r="E660" s="28" t="s">
        <v>961</v>
      </c>
      <c r="F660" s="55">
        <v>0.80414775000000016</v>
      </c>
      <c r="G660" s="29">
        <v>44652</v>
      </c>
      <c r="H660" s="30">
        <v>44926</v>
      </c>
    </row>
    <row r="661" spans="1:8" x14ac:dyDescent="0.2">
      <c r="A661" s="32">
        <v>920088</v>
      </c>
      <c r="B661" s="27" t="s">
        <v>451</v>
      </c>
      <c r="C661" s="55">
        <v>0.81900000000000006</v>
      </c>
      <c r="D661" s="55">
        <v>0.36855000000000004</v>
      </c>
      <c r="E661" s="28" t="s">
        <v>960</v>
      </c>
      <c r="F661" s="55">
        <v>0.34275150000000004</v>
      </c>
      <c r="G661" s="29">
        <v>44652</v>
      </c>
      <c r="H661" s="30">
        <v>44926</v>
      </c>
    </row>
    <row r="662" spans="1:8" x14ac:dyDescent="0.2">
      <c r="A662" s="32">
        <v>920103</v>
      </c>
      <c r="B662" s="27" t="s">
        <v>452</v>
      </c>
      <c r="C662" s="55">
        <v>7.7069999999999999</v>
      </c>
      <c r="D662" s="55">
        <v>3.4681500000000001</v>
      </c>
      <c r="E662" s="28" t="s">
        <v>960</v>
      </c>
      <c r="F662" s="55">
        <v>3.2253795000000003</v>
      </c>
      <c r="G662" s="29">
        <v>44652</v>
      </c>
      <c r="H662" s="30">
        <v>44926</v>
      </c>
    </row>
    <row r="663" spans="1:8" x14ac:dyDescent="0.2">
      <c r="A663" s="32">
        <v>920104</v>
      </c>
      <c r="B663" s="27" t="s">
        <v>453</v>
      </c>
      <c r="C663" s="55">
        <v>10.65</v>
      </c>
      <c r="D663" s="55">
        <v>4.7925000000000004</v>
      </c>
      <c r="E663" s="28" t="s">
        <v>960</v>
      </c>
      <c r="F663" s="55">
        <v>4.4570250000000007</v>
      </c>
      <c r="G663" s="29">
        <v>44652</v>
      </c>
      <c r="H663" s="30">
        <v>44926</v>
      </c>
    </row>
    <row r="664" spans="1:8" x14ac:dyDescent="0.2">
      <c r="A664" s="32">
        <v>920107</v>
      </c>
      <c r="B664" s="27" t="s">
        <v>454</v>
      </c>
      <c r="C664" s="55">
        <v>2.4700000000000002</v>
      </c>
      <c r="D664" s="55">
        <v>1.1115000000000002</v>
      </c>
      <c r="E664" s="28" t="s">
        <v>960</v>
      </c>
      <c r="F664" s="55">
        <v>1.0336950000000003</v>
      </c>
      <c r="G664" s="29">
        <v>44652</v>
      </c>
      <c r="H664" s="30">
        <v>44926</v>
      </c>
    </row>
    <row r="665" spans="1:8" x14ac:dyDescent="0.2">
      <c r="A665" s="26">
        <v>920109</v>
      </c>
      <c r="B665" s="27" t="s">
        <v>455</v>
      </c>
      <c r="C665" s="55">
        <v>2.9505000000000003</v>
      </c>
      <c r="D665" s="55">
        <v>1.3277250000000003</v>
      </c>
      <c r="E665" s="28" t="s">
        <v>960</v>
      </c>
      <c r="F665" s="55">
        <v>1.2347842500000004</v>
      </c>
      <c r="G665" s="29">
        <v>44652</v>
      </c>
      <c r="H665" s="30">
        <v>44926</v>
      </c>
    </row>
    <row r="666" spans="1:8" x14ac:dyDescent="0.2">
      <c r="A666" s="26">
        <v>920110</v>
      </c>
      <c r="B666" s="27" t="s">
        <v>456</v>
      </c>
      <c r="C666" s="55">
        <v>2.9715000000000003</v>
      </c>
      <c r="D666" s="55">
        <v>1.3371750000000002</v>
      </c>
      <c r="E666" s="28" t="s">
        <v>960</v>
      </c>
      <c r="F666" s="55">
        <v>1.2435727500000002</v>
      </c>
      <c r="G666" s="29">
        <v>44652</v>
      </c>
      <c r="H666" s="30">
        <v>44926</v>
      </c>
    </row>
    <row r="667" spans="1:8" x14ac:dyDescent="0.2">
      <c r="A667" s="26">
        <v>920111</v>
      </c>
      <c r="B667" s="27" t="s">
        <v>457</v>
      </c>
      <c r="C667" s="55">
        <v>3.1395000000000004</v>
      </c>
      <c r="D667" s="55">
        <v>1.4127750000000001</v>
      </c>
      <c r="E667" s="28" t="s">
        <v>954</v>
      </c>
      <c r="F667" s="55">
        <v>1.3138807500000003</v>
      </c>
      <c r="G667" s="29">
        <v>44652</v>
      </c>
      <c r="H667" s="30">
        <v>44926</v>
      </c>
    </row>
    <row r="668" spans="1:8" x14ac:dyDescent="0.2">
      <c r="A668" s="26">
        <v>920112</v>
      </c>
      <c r="B668" s="27" t="s">
        <v>458</v>
      </c>
      <c r="C668" s="55">
        <v>4.0529999999999999</v>
      </c>
      <c r="D668" s="55">
        <v>1.82385</v>
      </c>
      <c r="E668" s="28" t="s">
        <v>954</v>
      </c>
      <c r="F668" s="55">
        <v>1.6961805000000001</v>
      </c>
      <c r="G668" s="29">
        <v>44652</v>
      </c>
      <c r="H668" s="30">
        <v>44926</v>
      </c>
    </row>
    <row r="669" spans="1:8" x14ac:dyDescent="0.2">
      <c r="A669" s="26">
        <v>920113</v>
      </c>
      <c r="B669" s="27" t="s">
        <v>459</v>
      </c>
      <c r="C669" s="55">
        <v>6.4680000000000009</v>
      </c>
      <c r="D669" s="55">
        <v>2.9106000000000005</v>
      </c>
      <c r="E669" s="28" t="s">
        <v>960</v>
      </c>
      <c r="F669" s="55">
        <v>2.7068580000000004</v>
      </c>
      <c r="G669" s="29">
        <v>44652</v>
      </c>
      <c r="H669" s="30">
        <v>44926</v>
      </c>
    </row>
    <row r="670" spans="1:8" x14ac:dyDescent="0.2">
      <c r="A670" s="31">
        <v>920115</v>
      </c>
      <c r="B670" s="27" t="s">
        <v>460</v>
      </c>
      <c r="C670" s="55">
        <v>2.2050000000000001</v>
      </c>
      <c r="D670" s="55">
        <v>0.99225000000000008</v>
      </c>
      <c r="E670" s="28" t="s">
        <v>954</v>
      </c>
      <c r="F670" s="55">
        <v>0.92279250000000013</v>
      </c>
      <c r="G670" s="29">
        <v>44652</v>
      </c>
      <c r="H670" s="30">
        <v>44926</v>
      </c>
    </row>
    <row r="671" spans="1:8" x14ac:dyDescent="0.2">
      <c r="A671" s="26">
        <v>920116</v>
      </c>
      <c r="B671" s="27" t="s">
        <v>461</v>
      </c>
      <c r="C671" s="55">
        <v>3.8955000000000002</v>
      </c>
      <c r="D671" s="55">
        <v>1.7529750000000002</v>
      </c>
      <c r="E671" s="28" t="s">
        <v>960</v>
      </c>
      <c r="F671" s="55">
        <v>1.6302667500000003</v>
      </c>
      <c r="G671" s="29">
        <v>44652</v>
      </c>
      <c r="H671" s="30">
        <v>44926</v>
      </c>
    </row>
    <row r="672" spans="1:8" x14ac:dyDescent="0.2">
      <c r="A672" s="26">
        <v>920117</v>
      </c>
      <c r="B672" s="27" t="s">
        <v>462</v>
      </c>
      <c r="C672" s="55">
        <v>3.9165000000000001</v>
      </c>
      <c r="D672" s="55">
        <v>1.7624250000000001</v>
      </c>
      <c r="E672" s="28" t="s">
        <v>960</v>
      </c>
      <c r="F672" s="55">
        <v>1.6390552500000002</v>
      </c>
      <c r="G672" s="29">
        <v>44652</v>
      </c>
      <c r="H672" s="30">
        <v>44926</v>
      </c>
    </row>
    <row r="673" spans="1:8" x14ac:dyDescent="0.2">
      <c r="A673" s="32">
        <v>920118</v>
      </c>
      <c r="B673" s="27" t="s">
        <v>463</v>
      </c>
      <c r="C673" s="55">
        <v>0.89249999999999996</v>
      </c>
      <c r="D673" s="55">
        <v>0.40162500000000001</v>
      </c>
      <c r="E673" s="28" t="s">
        <v>961</v>
      </c>
      <c r="F673" s="55">
        <v>0.37351125000000002</v>
      </c>
      <c r="G673" s="29">
        <v>44652</v>
      </c>
      <c r="H673" s="30">
        <v>44926</v>
      </c>
    </row>
    <row r="674" spans="1:8" x14ac:dyDescent="0.2">
      <c r="A674" s="32">
        <v>920119</v>
      </c>
      <c r="B674" s="27" t="s">
        <v>464</v>
      </c>
      <c r="C674" s="55">
        <v>1.0920000000000001</v>
      </c>
      <c r="D674" s="55">
        <v>0.49140000000000006</v>
      </c>
      <c r="E674" s="28" t="s">
        <v>961</v>
      </c>
      <c r="F674" s="55">
        <v>0.45700200000000007</v>
      </c>
      <c r="G674" s="29">
        <v>44652</v>
      </c>
      <c r="H674" s="30">
        <v>44926</v>
      </c>
    </row>
    <row r="675" spans="1:8" x14ac:dyDescent="0.2">
      <c r="A675" s="32">
        <v>920120</v>
      </c>
      <c r="B675" s="27" t="s">
        <v>465</v>
      </c>
      <c r="C675" s="55">
        <v>0.38850000000000001</v>
      </c>
      <c r="D675" s="55">
        <v>0.17482500000000001</v>
      </c>
      <c r="E675" s="28" t="s">
        <v>961</v>
      </c>
      <c r="F675" s="55">
        <v>0.16258725000000002</v>
      </c>
      <c r="G675" s="29">
        <v>44652</v>
      </c>
      <c r="H675" s="30">
        <v>44926</v>
      </c>
    </row>
    <row r="676" spans="1:8" x14ac:dyDescent="0.2">
      <c r="A676" s="32">
        <v>920121</v>
      </c>
      <c r="B676" s="27" t="s">
        <v>466</v>
      </c>
      <c r="C676" s="55">
        <v>0.34650000000000003</v>
      </c>
      <c r="D676" s="55">
        <v>0.15592500000000001</v>
      </c>
      <c r="E676" s="28" t="s">
        <v>961</v>
      </c>
      <c r="F676" s="55">
        <v>0.14501025000000001</v>
      </c>
      <c r="G676" s="29">
        <v>44652</v>
      </c>
      <c r="H676" s="30">
        <v>44926</v>
      </c>
    </row>
    <row r="677" spans="1:8" x14ac:dyDescent="0.2">
      <c r="A677" s="32">
        <v>920122</v>
      </c>
      <c r="B677" s="27" t="s">
        <v>467</v>
      </c>
      <c r="C677" s="55">
        <v>2.4</v>
      </c>
      <c r="D677" s="55">
        <v>1.08</v>
      </c>
      <c r="E677" s="28" t="s">
        <v>954</v>
      </c>
      <c r="F677" s="55">
        <v>1.0044000000000002</v>
      </c>
      <c r="G677" s="29">
        <v>44652</v>
      </c>
      <c r="H677" s="30">
        <v>44926</v>
      </c>
    </row>
    <row r="678" spans="1:8" x14ac:dyDescent="0.2">
      <c r="A678" s="32">
        <v>920123</v>
      </c>
      <c r="B678" s="27" t="s">
        <v>468</v>
      </c>
      <c r="C678" s="55">
        <v>0.59849999999999992</v>
      </c>
      <c r="D678" s="55">
        <v>0.26932499999999998</v>
      </c>
      <c r="E678" s="28" t="s">
        <v>961</v>
      </c>
      <c r="F678" s="55">
        <v>0.25047225000000001</v>
      </c>
      <c r="G678" s="29">
        <v>44652</v>
      </c>
      <c r="H678" s="30">
        <v>44926</v>
      </c>
    </row>
    <row r="679" spans="1:8" x14ac:dyDescent="0.2">
      <c r="A679" s="32">
        <v>920124</v>
      </c>
      <c r="B679" s="27" t="s">
        <v>469</v>
      </c>
      <c r="C679" s="55">
        <v>17.430000000000003</v>
      </c>
      <c r="D679" s="55">
        <v>7.8435000000000015</v>
      </c>
      <c r="E679" s="28" t="s">
        <v>961</v>
      </c>
      <c r="F679" s="55">
        <v>7.2944550000000019</v>
      </c>
      <c r="G679" s="29">
        <v>44652</v>
      </c>
      <c r="H679" s="30">
        <v>44926</v>
      </c>
    </row>
    <row r="680" spans="1:8" x14ac:dyDescent="0.2">
      <c r="A680" s="32">
        <v>920125</v>
      </c>
      <c r="B680" s="27" t="s">
        <v>470</v>
      </c>
      <c r="C680" s="55">
        <v>10.9</v>
      </c>
      <c r="D680" s="55">
        <v>4.9050000000000002</v>
      </c>
      <c r="E680" s="28" t="s">
        <v>960</v>
      </c>
      <c r="F680" s="55">
        <v>4.5616500000000002</v>
      </c>
      <c r="G680" s="29">
        <v>44652</v>
      </c>
      <c r="H680" s="30">
        <v>44926</v>
      </c>
    </row>
    <row r="681" spans="1:8" x14ac:dyDescent="0.2">
      <c r="A681" s="32">
        <v>920126</v>
      </c>
      <c r="B681" s="27" t="s">
        <v>471</v>
      </c>
      <c r="C681" s="55">
        <v>23.68</v>
      </c>
      <c r="D681" s="55">
        <v>10.656000000000001</v>
      </c>
      <c r="E681" s="28" t="s">
        <v>960</v>
      </c>
      <c r="F681" s="55">
        <v>9.9100800000000007</v>
      </c>
      <c r="G681" s="29">
        <v>44652</v>
      </c>
      <c r="H681" s="30">
        <v>44926</v>
      </c>
    </row>
    <row r="682" spans="1:8" x14ac:dyDescent="0.2">
      <c r="A682" s="32">
        <v>920128</v>
      </c>
      <c r="B682" s="27" t="s">
        <v>472</v>
      </c>
      <c r="C682" s="55">
        <v>1.4</v>
      </c>
      <c r="D682" s="55">
        <v>0.63</v>
      </c>
      <c r="E682" s="28" t="s">
        <v>960</v>
      </c>
      <c r="F682" s="55">
        <v>0.58590000000000009</v>
      </c>
      <c r="G682" s="29">
        <v>44652</v>
      </c>
      <c r="H682" s="30">
        <v>44926</v>
      </c>
    </row>
    <row r="683" spans="1:8" x14ac:dyDescent="0.2">
      <c r="A683" s="26">
        <v>920134</v>
      </c>
      <c r="B683" s="27" t="s">
        <v>473</v>
      </c>
      <c r="C683" s="55">
        <v>3.6750000000000003</v>
      </c>
      <c r="D683" s="55">
        <v>1.6537500000000001</v>
      </c>
      <c r="E683" s="28" t="s">
        <v>960</v>
      </c>
      <c r="F683" s="55">
        <v>1.5379875000000001</v>
      </c>
      <c r="G683" s="29">
        <v>44652</v>
      </c>
      <c r="H683" s="30">
        <v>44926</v>
      </c>
    </row>
    <row r="684" spans="1:8" x14ac:dyDescent="0.2">
      <c r="A684" s="26">
        <v>920135</v>
      </c>
      <c r="B684" s="27" t="s">
        <v>474</v>
      </c>
      <c r="C684" s="55">
        <v>3.6854999999999998</v>
      </c>
      <c r="D684" s="55">
        <v>1.6584749999999999</v>
      </c>
      <c r="E684" s="28" t="s">
        <v>960</v>
      </c>
      <c r="F684" s="55">
        <v>1.5423817500000001</v>
      </c>
      <c r="G684" s="29">
        <v>44652</v>
      </c>
      <c r="H684" s="30">
        <v>44926</v>
      </c>
    </row>
    <row r="685" spans="1:8" x14ac:dyDescent="0.2">
      <c r="A685" s="26">
        <v>920139</v>
      </c>
      <c r="B685" s="27" t="s">
        <v>475</v>
      </c>
      <c r="C685" s="55">
        <v>4.0949999999999998</v>
      </c>
      <c r="D685" s="55">
        <v>1.8427499999999999</v>
      </c>
      <c r="E685" s="28" t="s">
        <v>954</v>
      </c>
      <c r="F685" s="55">
        <v>1.7137575</v>
      </c>
      <c r="G685" s="29">
        <v>44652</v>
      </c>
      <c r="H685" s="30">
        <v>44926</v>
      </c>
    </row>
    <row r="686" spans="1:8" x14ac:dyDescent="0.2">
      <c r="A686" s="26">
        <v>920140</v>
      </c>
      <c r="B686" s="27" t="s">
        <v>476</v>
      </c>
      <c r="C686" s="55">
        <v>5.75</v>
      </c>
      <c r="D686" s="55">
        <v>2.5874999999999999</v>
      </c>
      <c r="E686" s="28" t="s">
        <v>954</v>
      </c>
      <c r="F686" s="55">
        <v>2.4063750000000002</v>
      </c>
      <c r="G686" s="29">
        <v>44652</v>
      </c>
      <c r="H686" s="30">
        <v>44926</v>
      </c>
    </row>
    <row r="687" spans="1:8" x14ac:dyDescent="0.2">
      <c r="A687" s="26">
        <v>920141</v>
      </c>
      <c r="B687" s="27" t="s">
        <v>477</v>
      </c>
      <c r="C687" s="55">
        <v>6.6465000000000005</v>
      </c>
      <c r="D687" s="55">
        <v>2.9909250000000003</v>
      </c>
      <c r="E687" s="28" t="s">
        <v>960</v>
      </c>
      <c r="F687" s="55">
        <v>2.7815602500000005</v>
      </c>
      <c r="G687" s="29">
        <v>44652</v>
      </c>
      <c r="H687" s="30">
        <v>44926</v>
      </c>
    </row>
    <row r="688" spans="1:8" x14ac:dyDescent="0.2">
      <c r="A688" s="26">
        <v>920142</v>
      </c>
      <c r="B688" s="27" t="s">
        <v>478</v>
      </c>
      <c r="C688" s="55">
        <v>4.25</v>
      </c>
      <c r="D688" s="55">
        <v>1.9125000000000001</v>
      </c>
      <c r="E688" s="28" t="s">
        <v>954</v>
      </c>
      <c r="F688" s="55">
        <v>1.7786250000000001</v>
      </c>
      <c r="G688" s="29">
        <v>44652</v>
      </c>
      <c r="H688" s="30">
        <v>44926</v>
      </c>
    </row>
    <row r="689" spans="1:8" x14ac:dyDescent="0.2">
      <c r="A689" s="26">
        <v>920143</v>
      </c>
      <c r="B689" s="27" t="s">
        <v>479</v>
      </c>
      <c r="C689" s="55">
        <v>4.0110000000000001</v>
      </c>
      <c r="D689" s="55">
        <v>1.8049500000000001</v>
      </c>
      <c r="E689" s="28" t="s">
        <v>954</v>
      </c>
      <c r="F689" s="55">
        <v>1.6786035000000001</v>
      </c>
      <c r="G689" s="29">
        <v>44652</v>
      </c>
      <c r="H689" s="30">
        <v>44926</v>
      </c>
    </row>
    <row r="690" spans="1:8" x14ac:dyDescent="0.2">
      <c r="A690" s="26">
        <v>920144</v>
      </c>
      <c r="B690" s="27" t="s">
        <v>480</v>
      </c>
      <c r="C690" s="55">
        <v>5.2920000000000007</v>
      </c>
      <c r="D690" s="55">
        <v>2.3814000000000002</v>
      </c>
      <c r="E690" s="28" t="s">
        <v>960</v>
      </c>
      <c r="F690" s="55">
        <v>2.2147020000000004</v>
      </c>
      <c r="G690" s="29">
        <v>44652</v>
      </c>
      <c r="H690" s="30">
        <v>44926</v>
      </c>
    </row>
    <row r="691" spans="1:8" x14ac:dyDescent="0.2">
      <c r="A691" s="26">
        <v>920145</v>
      </c>
      <c r="B691" s="27" t="s">
        <v>481</v>
      </c>
      <c r="C691" s="55">
        <v>5.2920000000000007</v>
      </c>
      <c r="D691" s="55">
        <v>2.3814000000000002</v>
      </c>
      <c r="E691" s="28" t="s">
        <v>960</v>
      </c>
      <c r="F691" s="55">
        <v>2.2147020000000004</v>
      </c>
      <c r="G691" s="29">
        <v>44652</v>
      </c>
      <c r="H691" s="30">
        <v>44926</v>
      </c>
    </row>
    <row r="692" spans="1:8" x14ac:dyDescent="0.2">
      <c r="A692" s="32">
        <v>920146</v>
      </c>
      <c r="B692" s="27" t="s">
        <v>482</v>
      </c>
      <c r="C692" s="55">
        <v>1.7324999999999999</v>
      </c>
      <c r="D692" s="55">
        <v>0.77962500000000001</v>
      </c>
      <c r="E692" s="28" t="s">
        <v>961</v>
      </c>
      <c r="F692" s="55">
        <v>0.72505125000000004</v>
      </c>
      <c r="G692" s="29">
        <v>44652</v>
      </c>
      <c r="H692" s="30">
        <v>44926</v>
      </c>
    </row>
    <row r="693" spans="1:8" x14ac:dyDescent="0.2">
      <c r="A693" s="32">
        <v>920147</v>
      </c>
      <c r="B693" s="27" t="s">
        <v>483</v>
      </c>
      <c r="C693" s="55">
        <v>27.069000000000003</v>
      </c>
      <c r="D693" s="55">
        <v>12.181050000000001</v>
      </c>
      <c r="E693" s="28" t="s">
        <v>961</v>
      </c>
      <c r="F693" s="55">
        <v>11.328376500000001</v>
      </c>
      <c r="G693" s="29">
        <v>44652</v>
      </c>
      <c r="H693" s="30">
        <v>44926</v>
      </c>
    </row>
    <row r="694" spans="1:8" x14ac:dyDescent="0.2">
      <c r="A694" s="32">
        <v>920148</v>
      </c>
      <c r="B694" s="27" t="s">
        <v>484</v>
      </c>
      <c r="C694" s="55">
        <v>0.52500000000000002</v>
      </c>
      <c r="D694" s="55">
        <v>0.23625000000000002</v>
      </c>
      <c r="E694" s="28" t="s">
        <v>961</v>
      </c>
      <c r="F694" s="55">
        <v>0.21971250000000003</v>
      </c>
      <c r="G694" s="29">
        <v>44652</v>
      </c>
      <c r="H694" s="30">
        <v>44926</v>
      </c>
    </row>
    <row r="695" spans="1:8" x14ac:dyDescent="0.2">
      <c r="A695" s="32">
        <v>920149</v>
      </c>
      <c r="B695" s="27" t="s">
        <v>485</v>
      </c>
      <c r="C695" s="55">
        <v>0.99749999999999994</v>
      </c>
      <c r="D695" s="55">
        <v>0.44887499999999997</v>
      </c>
      <c r="E695" s="28" t="s">
        <v>961</v>
      </c>
      <c r="F695" s="55">
        <v>0.41745375000000001</v>
      </c>
      <c r="G695" s="29">
        <v>44652</v>
      </c>
      <c r="H695" s="30">
        <v>44926</v>
      </c>
    </row>
    <row r="696" spans="1:8" x14ac:dyDescent="0.2">
      <c r="A696" s="32">
        <v>920150</v>
      </c>
      <c r="B696" s="27" t="s">
        <v>486</v>
      </c>
      <c r="C696" s="55">
        <v>34.8705</v>
      </c>
      <c r="D696" s="55">
        <v>15.691725</v>
      </c>
      <c r="E696" s="28" t="s">
        <v>961</v>
      </c>
      <c r="F696" s="55">
        <v>14.593304250000001</v>
      </c>
      <c r="G696" s="29">
        <v>44652</v>
      </c>
      <c r="H696" s="30">
        <v>44926</v>
      </c>
    </row>
    <row r="697" spans="1:8" x14ac:dyDescent="0.2">
      <c r="A697" s="26">
        <v>920151</v>
      </c>
      <c r="B697" s="27" t="s">
        <v>958</v>
      </c>
      <c r="C697" s="55">
        <v>9.5130000000000017</v>
      </c>
      <c r="D697" s="55">
        <v>4.2808500000000009</v>
      </c>
      <c r="E697" s="28" t="s">
        <v>954</v>
      </c>
      <c r="F697" s="55">
        <v>3.9811905000000012</v>
      </c>
      <c r="G697" s="29">
        <v>44652</v>
      </c>
      <c r="H697" s="30">
        <v>44926</v>
      </c>
    </row>
    <row r="698" spans="1:8" x14ac:dyDescent="0.2">
      <c r="A698" s="26">
        <v>920156</v>
      </c>
      <c r="B698" s="27" t="s">
        <v>957</v>
      </c>
      <c r="C698" s="55">
        <v>17.2</v>
      </c>
      <c r="D698" s="55">
        <v>7.74</v>
      </c>
      <c r="E698" s="28" t="s">
        <v>954</v>
      </c>
      <c r="F698" s="55">
        <v>7.1982000000000008</v>
      </c>
      <c r="G698" s="29">
        <v>44652</v>
      </c>
      <c r="H698" s="30">
        <v>44926</v>
      </c>
    </row>
    <row r="699" spans="1:8" x14ac:dyDescent="0.2">
      <c r="A699" s="26">
        <v>920157</v>
      </c>
      <c r="B699" s="27" t="s">
        <v>487</v>
      </c>
      <c r="C699" s="55">
        <v>19.3</v>
      </c>
      <c r="D699" s="55">
        <v>8.6850000000000005</v>
      </c>
      <c r="E699" s="28" t="s">
        <v>954</v>
      </c>
      <c r="F699" s="55">
        <v>8.0770500000000016</v>
      </c>
      <c r="G699" s="29">
        <v>44652</v>
      </c>
      <c r="H699" s="30">
        <v>44926</v>
      </c>
    </row>
    <row r="700" spans="1:8" x14ac:dyDescent="0.2">
      <c r="A700" s="32">
        <v>920158</v>
      </c>
      <c r="B700" s="27" t="s">
        <v>488</v>
      </c>
      <c r="C700" s="55">
        <v>1.9425000000000001</v>
      </c>
      <c r="D700" s="55">
        <v>0.87412500000000004</v>
      </c>
      <c r="E700" s="28" t="s">
        <v>954</v>
      </c>
      <c r="F700" s="55">
        <v>0.81293625000000003</v>
      </c>
      <c r="G700" s="29">
        <v>44652</v>
      </c>
      <c r="H700" s="30">
        <v>44926</v>
      </c>
    </row>
    <row r="701" spans="1:8" x14ac:dyDescent="0.2">
      <c r="A701" s="32">
        <v>920159</v>
      </c>
      <c r="B701" s="27" t="s">
        <v>489</v>
      </c>
      <c r="C701" s="55">
        <v>1.3755000000000002</v>
      </c>
      <c r="D701" s="55">
        <v>0.61897500000000005</v>
      </c>
      <c r="E701" s="28" t="s">
        <v>954</v>
      </c>
      <c r="F701" s="55">
        <v>0.5756467500000001</v>
      </c>
      <c r="G701" s="29">
        <v>44652</v>
      </c>
      <c r="H701" s="30">
        <v>44926</v>
      </c>
    </row>
    <row r="702" spans="1:8" x14ac:dyDescent="0.2">
      <c r="A702" s="32">
        <v>920161</v>
      </c>
      <c r="B702" s="27" t="s">
        <v>490</v>
      </c>
      <c r="C702" s="55">
        <v>27.25</v>
      </c>
      <c r="D702" s="55">
        <v>12.262500000000001</v>
      </c>
      <c r="E702" s="28" t="s">
        <v>8</v>
      </c>
      <c r="F702" s="55"/>
      <c r="G702" s="29">
        <v>44652</v>
      </c>
      <c r="H702" s="30">
        <v>44926</v>
      </c>
    </row>
    <row r="703" spans="1:8" x14ac:dyDescent="0.2">
      <c r="A703" s="32">
        <v>920165</v>
      </c>
      <c r="B703" s="27" t="s">
        <v>491</v>
      </c>
      <c r="C703" s="55">
        <v>0.89249999999999996</v>
      </c>
      <c r="D703" s="55">
        <v>0.40162500000000001</v>
      </c>
      <c r="E703" s="28" t="s">
        <v>960</v>
      </c>
      <c r="F703" s="55">
        <v>0.37351125000000002</v>
      </c>
      <c r="G703" s="29">
        <v>44652</v>
      </c>
      <c r="H703" s="30">
        <v>44926</v>
      </c>
    </row>
    <row r="704" spans="1:8" x14ac:dyDescent="0.2">
      <c r="A704" s="32">
        <v>920177</v>
      </c>
      <c r="B704" s="27" t="s">
        <v>492</v>
      </c>
      <c r="C704" s="55">
        <v>0.42000000000000004</v>
      </c>
      <c r="D704" s="55">
        <v>0.18900000000000003</v>
      </c>
      <c r="E704" s="28" t="s">
        <v>954</v>
      </c>
      <c r="F704" s="55">
        <v>0.17577000000000004</v>
      </c>
      <c r="G704" s="29">
        <v>44652</v>
      </c>
      <c r="H704" s="30">
        <v>44926</v>
      </c>
    </row>
    <row r="705" spans="1:8" x14ac:dyDescent="0.2">
      <c r="A705" s="32">
        <v>920178</v>
      </c>
      <c r="B705" s="27" t="s">
        <v>493</v>
      </c>
      <c r="C705" s="55">
        <v>0.42000000000000004</v>
      </c>
      <c r="D705" s="55">
        <v>0.18900000000000003</v>
      </c>
      <c r="E705" s="28" t="s">
        <v>8</v>
      </c>
      <c r="F705" s="55"/>
      <c r="G705" s="29">
        <v>44652</v>
      </c>
      <c r="H705" s="30">
        <v>44926</v>
      </c>
    </row>
    <row r="706" spans="1:8" x14ac:dyDescent="0.2">
      <c r="A706" s="32">
        <v>920182</v>
      </c>
      <c r="B706" s="27" t="s">
        <v>494</v>
      </c>
      <c r="C706" s="55">
        <v>53.907000000000004</v>
      </c>
      <c r="D706" s="55">
        <v>24.258150000000001</v>
      </c>
      <c r="E706" s="28" t="s">
        <v>8</v>
      </c>
      <c r="F706" s="55"/>
      <c r="G706" s="29">
        <v>44652</v>
      </c>
      <c r="H706" s="30">
        <v>44926</v>
      </c>
    </row>
    <row r="707" spans="1:8" x14ac:dyDescent="0.2">
      <c r="A707" s="32">
        <v>920183</v>
      </c>
      <c r="B707" s="27" t="s">
        <v>495</v>
      </c>
      <c r="C707" s="55">
        <v>100.17000000000002</v>
      </c>
      <c r="D707" s="55">
        <v>45.07650000000001</v>
      </c>
      <c r="E707" s="28" t="s">
        <v>8</v>
      </c>
      <c r="F707" s="55"/>
      <c r="G707" s="29">
        <v>44652</v>
      </c>
      <c r="H707" s="30">
        <v>44926</v>
      </c>
    </row>
    <row r="708" spans="1:8" x14ac:dyDescent="0.2">
      <c r="A708" s="32">
        <v>920184</v>
      </c>
      <c r="B708" s="27" t="s">
        <v>496</v>
      </c>
      <c r="C708" s="55">
        <v>288.25649999999996</v>
      </c>
      <c r="D708" s="55">
        <v>129.71542499999998</v>
      </c>
      <c r="E708" s="28" t="s">
        <v>8</v>
      </c>
      <c r="F708" s="55"/>
      <c r="G708" s="29">
        <v>44652</v>
      </c>
      <c r="H708" s="30">
        <v>44926</v>
      </c>
    </row>
    <row r="709" spans="1:8" x14ac:dyDescent="0.2">
      <c r="A709" s="32">
        <v>920187</v>
      </c>
      <c r="B709" s="27" t="s">
        <v>989</v>
      </c>
      <c r="C709" s="55">
        <v>54.999000000000002</v>
      </c>
      <c r="D709" s="55">
        <v>24.749550000000003</v>
      </c>
      <c r="E709" s="28" t="s">
        <v>8</v>
      </c>
      <c r="F709" s="55"/>
      <c r="G709" s="29">
        <v>44652</v>
      </c>
      <c r="H709" s="30">
        <v>44926</v>
      </c>
    </row>
    <row r="710" spans="1:8" x14ac:dyDescent="0.2">
      <c r="A710" s="32">
        <v>920188</v>
      </c>
      <c r="B710" s="27" t="s">
        <v>983</v>
      </c>
      <c r="C710" s="55">
        <v>73.248000000000005</v>
      </c>
      <c r="D710" s="55">
        <v>32.961600000000004</v>
      </c>
      <c r="E710" s="28" t="s">
        <v>8</v>
      </c>
      <c r="F710" s="55"/>
      <c r="G710" s="29">
        <v>44652</v>
      </c>
      <c r="H710" s="30">
        <v>44926</v>
      </c>
    </row>
    <row r="711" spans="1:8" x14ac:dyDescent="0.2">
      <c r="A711" s="32">
        <v>920189</v>
      </c>
      <c r="B711" s="27" t="s">
        <v>981</v>
      </c>
      <c r="C711" s="55">
        <v>94.531500000000008</v>
      </c>
      <c r="D711" s="55">
        <v>42.539175000000007</v>
      </c>
      <c r="E711" s="28" t="s">
        <v>8</v>
      </c>
      <c r="F711" s="55"/>
      <c r="G711" s="29">
        <v>44652</v>
      </c>
      <c r="H711" s="30">
        <v>44926</v>
      </c>
    </row>
    <row r="712" spans="1:8" x14ac:dyDescent="0.2">
      <c r="A712" s="32">
        <v>920190</v>
      </c>
      <c r="B712" s="27" t="s">
        <v>497</v>
      </c>
      <c r="C712" s="55">
        <v>188.82150000000001</v>
      </c>
      <c r="D712" s="55">
        <v>84.969675000000009</v>
      </c>
      <c r="E712" s="28" t="s">
        <v>8</v>
      </c>
      <c r="F712" s="55"/>
      <c r="G712" s="29">
        <v>44652</v>
      </c>
      <c r="H712" s="30">
        <v>44926</v>
      </c>
    </row>
    <row r="713" spans="1:8" x14ac:dyDescent="0.2">
      <c r="A713" s="32">
        <v>920191</v>
      </c>
      <c r="B713" s="27" t="s">
        <v>498</v>
      </c>
      <c r="C713" s="55">
        <v>532.40250000000003</v>
      </c>
      <c r="D713" s="55">
        <v>239.58112500000001</v>
      </c>
      <c r="E713" s="28" t="s">
        <v>8</v>
      </c>
      <c r="F713" s="55"/>
      <c r="G713" s="29">
        <v>44652</v>
      </c>
      <c r="H713" s="30">
        <v>44926</v>
      </c>
    </row>
    <row r="714" spans="1:8" x14ac:dyDescent="0.2">
      <c r="A714" s="32">
        <v>920192</v>
      </c>
      <c r="B714" s="27" t="s">
        <v>499</v>
      </c>
      <c r="C714" s="55">
        <v>230.19149999999999</v>
      </c>
      <c r="D714" s="55">
        <v>103.586175</v>
      </c>
      <c r="E714" s="28" t="s">
        <v>8</v>
      </c>
      <c r="F714" s="55"/>
      <c r="G714" s="29">
        <v>44652</v>
      </c>
      <c r="H714" s="30">
        <v>44926</v>
      </c>
    </row>
    <row r="715" spans="1:8" x14ac:dyDescent="0.2">
      <c r="A715" s="32">
        <v>920193</v>
      </c>
      <c r="B715" s="27" t="s">
        <v>500</v>
      </c>
      <c r="C715" s="55">
        <v>426.11099999999999</v>
      </c>
      <c r="D715" s="55">
        <v>191.74995000000001</v>
      </c>
      <c r="E715" s="28" t="s">
        <v>8</v>
      </c>
      <c r="F715" s="55"/>
      <c r="G715" s="29">
        <v>44652</v>
      </c>
      <c r="H715" s="30">
        <v>44926</v>
      </c>
    </row>
    <row r="716" spans="1:8" x14ac:dyDescent="0.2">
      <c r="A716" s="32">
        <v>920194</v>
      </c>
      <c r="B716" s="27" t="s">
        <v>501</v>
      </c>
      <c r="C716" s="55">
        <v>488.10300000000001</v>
      </c>
      <c r="D716" s="55">
        <v>219.64635000000001</v>
      </c>
      <c r="E716" s="28" t="s">
        <v>8</v>
      </c>
      <c r="F716" s="55"/>
      <c r="G716" s="29">
        <v>44652</v>
      </c>
      <c r="H716" s="30">
        <v>44926</v>
      </c>
    </row>
    <row r="717" spans="1:8" x14ac:dyDescent="0.2">
      <c r="A717" s="32">
        <v>920195</v>
      </c>
      <c r="B717" s="27" t="s">
        <v>502</v>
      </c>
      <c r="C717" s="55">
        <v>664.41899999999998</v>
      </c>
      <c r="D717" s="55">
        <v>298.98854999999998</v>
      </c>
      <c r="E717" s="28" t="s">
        <v>8</v>
      </c>
      <c r="F717" s="55"/>
      <c r="G717" s="29">
        <v>44652</v>
      </c>
      <c r="H717" s="30">
        <v>44926</v>
      </c>
    </row>
    <row r="718" spans="1:8" x14ac:dyDescent="0.2">
      <c r="A718" s="32">
        <v>920202</v>
      </c>
      <c r="B718" s="27" t="s">
        <v>990</v>
      </c>
      <c r="C718" s="55">
        <v>246.85500000000002</v>
      </c>
      <c r="D718" s="55">
        <v>111.08475000000001</v>
      </c>
      <c r="E718" s="28" t="s">
        <v>8</v>
      </c>
      <c r="F718" s="55"/>
      <c r="G718" s="29">
        <v>44652</v>
      </c>
      <c r="H718" s="30">
        <v>44926</v>
      </c>
    </row>
    <row r="719" spans="1:8" x14ac:dyDescent="0.2">
      <c r="A719" s="32">
        <v>920207</v>
      </c>
      <c r="B719" s="27" t="s">
        <v>991</v>
      </c>
      <c r="C719" s="55">
        <v>246.85500000000002</v>
      </c>
      <c r="D719" s="55">
        <v>111.08475000000001</v>
      </c>
      <c r="E719" s="28" t="s">
        <v>8</v>
      </c>
      <c r="F719" s="55"/>
      <c r="G719" s="29">
        <v>44652</v>
      </c>
      <c r="H719" s="30">
        <v>44926</v>
      </c>
    </row>
    <row r="720" spans="1:8" x14ac:dyDescent="0.2">
      <c r="A720" s="32">
        <v>920209</v>
      </c>
      <c r="B720" s="27" t="s">
        <v>503</v>
      </c>
      <c r="C720" s="55">
        <v>0.94500000000000006</v>
      </c>
      <c r="D720" s="55">
        <v>0.42525000000000002</v>
      </c>
      <c r="E720" s="28" t="s">
        <v>954</v>
      </c>
      <c r="F720" s="55">
        <v>0.39548250000000001</v>
      </c>
      <c r="G720" s="29">
        <v>44652</v>
      </c>
      <c r="H720" s="30">
        <v>44926</v>
      </c>
    </row>
    <row r="721" spans="1:8" x14ac:dyDescent="0.2">
      <c r="A721" s="32">
        <v>920211</v>
      </c>
      <c r="B721" s="27" t="s">
        <v>504</v>
      </c>
      <c r="C721" s="55">
        <v>19.026000000000003</v>
      </c>
      <c r="D721" s="55">
        <v>8.5617000000000019</v>
      </c>
      <c r="E721" s="28" t="s">
        <v>954</v>
      </c>
      <c r="F721" s="55">
        <v>7.9623810000000024</v>
      </c>
      <c r="G721" s="29">
        <v>44652</v>
      </c>
      <c r="H721" s="30">
        <v>44926</v>
      </c>
    </row>
    <row r="722" spans="1:8" x14ac:dyDescent="0.2">
      <c r="A722" s="32">
        <v>920212</v>
      </c>
      <c r="B722" s="27" t="s">
        <v>505</v>
      </c>
      <c r="C722" s="55">
        <v>25.473000000000003</v>
      </c>
      <c r="D722" s="55">
        <v>11.462850000000001</v>
      </c>
      <c r="E722" s="28" t="s">
        <v>954</v>
      </c>
      <c r="F722" s="55">
        <v>10.660450500000001</v>
      </c>
      <c r="G722" s="29">
        <v>44652</v>
      </c>
      <c r="H722" s="30">
        <v>44926</v>
      </c>
    </row>
    <row r="723" spans="1:8" x14ac:dyDescent="0.2">
      <c r="A723" s="32">
        <v>920213</v>
      </c>
      <c r="B723" s="27" t="s">
        <v>506</v>
      </c>
      <c r="C723" s="55">
        <v>27.468</v>
      </c>
      <c r="D723" s="55">
        <v>12.3606</v>
      </c>
      <c r="E723" s="28" t="s">
        <v>954</v>
      </c>
      <c r="F723" s="55">
        <v>11.495358000000001</v>
      </c>
      <c r="G723" s="29">
        <v>44652</v>
      </c>
      <c r="H723" s="30">
        <v>44926</v>
      </c>
    </row>
    <row r="724" spans="1:8" x14ac:dyDescent="0.2">
      <c r="A724" s="32">
        <v>920214</v>
      </c>
      <c r="B724" s="27" t="s">
        <v>507</v>
      </c>
      <c r="C724" s="55">
        <v>17.272500000000001</v>
      </c>
      <c r="D724" s="55">
        <v>7.7726250000000006</v>
      </c>
      <c r="E724" s="28" t="s">
        <v>954</v>
      </c>
      <c r="F724" s="55">
        <v>7.228541250000001</v>
      </c>
      <c r="G724" s="29">
        <v>44652</v>
      </c>
      <c r="H724" s="30">
        <v>44926</v>
      </c>
    </row>
    <row r="725" spans="1:8" x14ac:dyDescent="0.2">
      <c r="A725" s="32">
        <v>920215</v>
      </c>
      <c r="B725" s="27" t="s">
        <v>508</v>
      </c>
      <c r="C725" s="55">
        <v>29.46</v>
      </c>
      <c r="D725" s="55">
        <v>13.257000000000001</v>
      </c>
      <c r="E725" s="28" t="s">
        <v>954</v>
      </c>
      <c r="F725" s="55">
        <v>12.329010000000002</v>
      </c>
      <c r="G725" s="29">
        <v>44652</v>
      </c>
      <c r="H725" s="30">
        <v>44926</v>
      </c>
    </row>
    <row r="726" spans="1:8" x14ac:dyDescent="0.2">
      <c r="A726" s="32">
        <v>920216</v>
      </c>
      <c r="B726" s="27" t="s">
        <v>509</v>
      </c>
      <c r="C726" s="55">
        <v>17.739999999999998</v>
      </c>
      <c r="D726" s="55">
        <v>7.9829999999999997</v>
      </c>
      <c r="E726" s="28" t="s">
        <v>954</v>
      </c>
      <c r="F726" s="55">
        <v>7.4241900000000003</v>
      </c>
      <c r="G726" s="29">
        <v>44652</v>
      </c>
      <c r="H726" s="30">
        <v>44926</v>
      </c>
    </row>
    <row r="727" spans="1:8" x14ac:dyDescent="0.2">
      <c r="A727" s="32">
        <v>920217</v>
      </c>
      <c r="B727" s="27" t="s">
        <v>510</v>
      </c>
      <c r="C727" s="55">
        <v>18.16</v>
      </c>
      <c r="D727" s="55">
        <v>8.1720000000000006</v>
      </c>
      <c r="E727" s="28" t="s">
        <v>954</v>
      </c>
      <c r="F727" s="55">
        <v>7.5999600000000012</v>
      </c>
      <c r="G727" s="29">
        <v>44652</v>
      </c>
      <c r="H727" s="30">
        <v>44926</v>
      </c>
    </row>
    <row r="728" spans="1:8" x14ac:dyDescent="0.2">
      <c r="A728" s="32">
        <v>920218</v>
      </c>
      <c r="B728" s="27" t="s">
        <v>511</v>
      </c>
      <c r="C728" s="55">
        <v>18.55</v>
      </c>
      <c r="D728" s="55">
        <v>8.3475000000000001</v>
      </c>
      <c r="E728" s="28" t="s">
        <v>954</v>
      </c>
      <c r="F728" s="55">
        <v>7.7631750000000004</v>
      </c>
      <c r="G728" s="29">
        <v>44652</v>
      </c>
      <c r="H728" s="30">
        <v>44926</v>
      </c>
    </row>
    <row r="729" spans="1:8" x14ac:dyDescent="0.2">
      <c r="A729" s="32">
        <v>920219</v>
      </c>
      <c r="B729" s="27" t="s">
        <v>1008</v>
      </c>
      <c r="C729" s="55">
        <v>0.34650000000000003</v>
      </c>
      <c r="D729" s="55">
        <v>0.15592500000000001</v>
      </c>
      <c r="E729" s="28" t="s">
        <v>954</v>
      </c>
      <c r="F729" s="55">
        <v>0.14501025000000001</v>
      </c>
      <c r="G729" s="29">
        <v>44652</v>
      </c>
      <c r="H729" s="30">
        <v>44926</v>
      </c>
    </row>
    <row r="730" spans="1:8" x14ac:dyDescent="0.2">
      <c r="A730" s="32">
        <v>920223</v>
      </c>
      <c r="B730" s="27" t="s">
        <v>512</v>
      </c>
      <c r="C730" s="55">
        <v>1.6590000000000003</v>
      </c>
      <c r="D730" s="55">
        <v>0.74655000000000016</v>
      </c>
      <c r="E730" s="28" t="s">
        <v>960</v>
      </c>
      <c r="F730" s="55">
        <v>0.69429150000000017</v>
      </c>
      <c r="G730" s="29">
        <v>44652</v>
      </c>
      <c r="H730" s="30">
        <v>44926</v>
      </c>
    </row>
    <row r="731" spans="1:8" x14ac:dyDescent="0.2">
      <c r="A731" s="32">
        <v>920224</v>
      </c>
      <c r="B731" s="27" t="s">
        <v>513</v>
      </c>
      <c r="C731" s="55">
        <v>0.83</v>
      </c>
      <c r="D731" s="55">
        <v>0.3735</v>
      </c>
      <c r="E731" s="28" t="s">
        <v>960</v>
      </c>
      <c r="F731" s="55">
        <v>0.34735500000000002</v>
      </c>
      <c r="G731" s="29">
        <v>44652</v>
      </c>
      <c r="H731" s="30">
        <v>44926</v>
      </c>
    </row>
    <row r="732" spans="1:8" x14ac:dyDescent="0.2">
      <c r="A732" s="32">
        <v>920225</v>
      </c>
      <c r="B732" s="27" t="s">
        <v>514</v>
      </c>
      <c r="C732" s="55">
        <v>0.52500000000000002</v>
      </c>
      <c r="D732" s="55">
        <v>0.23625000000000002</v>
      </c>
      <c r="E732" s="28" t="s">
        <v>960</v>
      </c>
      <c r="F732" s="55">
        <v>0.21971250000000003</v>
      </c>
      <c r="G732" s="29">
        <v>44652</v>
      </c>
      <c r="H732" s="30">
        <v>44926</v>
      </c>
    </row>
    <row r="733" spans="1:8" x14ac:dyDescent="0.2">
      <c r="A733" s="26">
        <v>920228</v>
      </c>
      <c r="B733" s="27" t="s">
        <v>515</v>
      </c>
      <c r="C733" s="55">
        <v>1.2915000000000001</v>
      </c>
      <c r="D733" s="55">
        <v>0.58117500000000011</v>
      </c>
      <c r="E733" s="28" t="s">
        <v>954</v>
      </c>
      <c r="F733" s="55">
        <v>0.54049275000000008</v>
      </c>
      <c r="G733" s="29">
        <v>44652</v>
      </c>
      <c r="H733" s="30">
        <v>44926</v>
      </c>
    </row>
    <row r="734" spans="1:8" x14ac:dyDescent="0.2">
      <c r="A734" s="26">
        <v>920229</v>
      </c>
      <c r="B734" s="27" t="s">
        <v>516</v>
      </c>
      <c r="C734" s="55">
        <v>1.2915000000000001</v>
      </c>
      <c r="D734" s="55">
        <v>0.58117500000000011</v>
      </c>
      <c r="E734" s="28" t="s">
        <v>8</v>
      </c>
      <c r="F734" s="55"/>
      <c r="G734" s="29">
        <v>44652</v>
      </c>
      <c r="H734" s="30">
        <v>44926</v>
      </c>
    </row>
    <row r="735" spans="1:8" x14ac:dyDescent="0.2">
      <c r="A735" s="32">
        <v>920232</v>
      </c>
      <c r="B735" s="27" t="s">
        <v>1209</v>
      </c>
      <c r="C735" s="55">
        <v>90.8</v>
      </c>
      <c r="D735" s="55">
        <v>40.86</v>
      </c>
      <c r="E735" s="28" t="s">
        <v>8</v>
      </c>
      <c r="F735" s="55"/>
      <c r="G735" s="29">
        <v>44652</v>
      </c>
      <c r="H735" s="30">
        <v>44926</v>
      </c>
    </row>
    <row r="736" spans="1:8" x14ac:dyDescent="0.2">
      <c r="A736" s="32">
        <v>920234</v>
      </c>
      <c r="B736" s="27" t="s">
        <v>517</v>
      </c>
      <c r="C736" s="55">
        <v>7.0350000000000001</v>
      </c>
      <c r="D736" s="55">
        <v>3.1657500000000001</v>
      </c>
      <c r="E736" s="28" t="s">
        <v>954</v>
      </c>
      <c r="F736" s="55">
        <v>2.9441475000000001</v>
      </c>
      <c r="G736" s="29">
        <v>44652</v>
      </c>
      <c r="H736" s="30">
        <v>44926</v>
      </c>
    </row>
    <row r="737" spans="1:8" x14ac:dyDescent="0.2">
      <c r="A737" s="32">
        <v>920235</v>
      </c>
      <c r="B737" s="27" t="s">
        <v>518</v>
      </c>
      <c r="C737" s="55">
        <v>25.99</v>
      </c>
      <c r="D737" s="55">
        <v>11.695499999999999</v>
      </c>
      <c r="E737" s="28" t="s">
        <v>954</v>
      </c>
      <c r="F737" s="55">
        <v>10.876815000000001</v>
      </c>
      <c r="G737" s="29">
        <v>44652</v>
      </c>
      <c r="H737" s="30">
        <v>44926</v>
      </c>
    </row>
    <row r="738" spans="1:8" x14ac:dyDescent="0.2">
      <c r="A738" s="32">
        <v>920244</v>
      </c>
      <c r="B738" s="27" t="s">
        <v>519</v>
      </c>
      <c r="C738" s="55">
        <v>1.9949999999999999</v>
      </c>
      <c r="D738" s="55">
        <v>0.89774999999999994</v>
      </c>
      <c r="E738" s="28" t="s">
        <v>954</v>
      </c>
      <c r="F738" s="55">
        <v>0.83490750000000002</v>
      </c>
      <c r="G738" s="29">
        <v>44652</v>
      </c>
      <c r="H738" s="30">
        <v>44926</v>
      </c>
    </row>
    <row r="739" spans="1:8" x14ac:dyDescent="0.2">
      <c r="A739" s="32">
        <v>920248</v>
      </c>
      <c r="B739" s="27" t="s">
        <v>520</v>
      </c>
      <c r="C739" s="55">
        <v>0.99749999999999994</v>
      </c>
      <c r="D739" s="55">
        <v>0.44887499999999997</v>
      </c>
      <c r="E739" s="28" t="s">
        <v>954</v>
      </c>
      <c r="F739" s="55">
        <v>0.41745375000000001</v>
      </c>
      <c r="G739" s="29">
        <v>44652</v>
      </c>
      <c r="H739" s="30">
        <v>44926</v>
      </c>
    </row>
    <row r="740" spans="1:8" x14ac:dyDescent="0.2">
      <c r="A740" s="32">
        <v>920264</v>
      </c>
      <c r="B740" s="27" t="s">
        <v>521</v>
      </c>
      <c r="C740" s="55">
        <v>10.9</v>
      </c>
      <c r="D740" s="55">
        <v>4.9050000000000002</v>
      </c>
      <c r="E740" s="28" t="s">
        <v>954</v>
      </c>
      <c r="F740" s="55">
        <v>4.5616500000000002</v>
      </c>
      <c r="G740" s="29">
        <v>44652</v>
      </c>
      <c r="H740" s="30">
        <v>44926</v>
      </c>
    </row>
    <row r="741" spans="1:8" x14ac:dyDescent="0.2">
      <c r="A741" s="32">
        <v>920265</v>
      </c>
      <c r="B741" s="27" t="s">
        <v>1105</v>
      </c>
      <c r="C741" s="55">
        <v>5.5</v>
      </c>
      <c r="D741" s="55">
        <v>2.4750000000000001</v>
      </c>
      <c r="E741" s="28" t="s">
        <v>954</v>
      </c>
      <c r="F741" s="55">
        <v>2.3017500000000002</v>
      </c>
      <c r="G741" s="29">
        <v>44652</v>
      </c>
      <c r="H741" s="30">
        <v>44926</v>
      </c>
    </row>
    <row r="742" spans="1:8" x14ac:dyDescent="0.2">
      <c r="A742" s="32">
        <v>920268</v>
      </c>
      <c r="B742" s="27" t="s">
        <v>522</v>
      </c>
      <c r="C742" s="55">
        <v>8.0640000000000001</v>
      </c>
      <c r="D742" s="55">
        <v>3.6288</v>
      </c>
      <c r="E742" s="28" t="s">
        <v>954</v>
      </c>
      <c r="F742" s="55">
        <v>3.374784</v>
      </c>
      <c r="G742" s="29">
        <v>44652</v>
      </c>
      <c r="H742" s="30">
        <v>44926</v>
      </c>
    </row>
    <row r="743" spans="1:8" x14ac:dyDescent="0.2">
      <c r="A743" s="32">
        <v>920273</v>
      </c>
      <c r="B743" s="27" t="s">
        <v>523</v>
      </c>
      <c r="C743" s="55">
        <v>50.714999999999996</v>
      </c>
      <c r="D743" s="55">
        <v>22.821749999999998</v>
      </c>
      <c r="E743" s="28" t="s">
        <v>954</v>
      </c>
      <c r="F743" s="55">
        <v>21.224227499999998</v>
      </c>
      <c r="G743" s="29">
        <v>44652</v>
      </c>
      <c r="H743" s="30">
        <v>44926</v>
      </c>
    </row>
    <row r="744" spans="1:8" x14ac:dyDescent="0.2">
      <c r="A744" s="32">
        <v>920275</v>
      </c>
      <c r="B744" s="27" t="s">
        <v>524</v>
      </c>
      <c r="C744" s="55">
        <v>1.3</v>
      </c>
      <c r="D744" s="55">
        <v>0.58500000000000008</v>
      </c>
      <c r="E744" s="28" t="s">
        <v>960</v>
      </c>
      <c r="F744" s="55">
        <v>0.54405000000000014</v>
      </c>
      <c r="G744" s="29">
        <v>44652</v>
      </c>
      <c r="H744" s="30">
        <v>44926</v>
      </c>
    </row>
    <row r="745" spans="1:8" x14ac:dyDescent="0.2">
      <c r="A745" s="32">
        <v>920276</v>
      </c>
      <c r="B745" s="27" t="s">
        <v>525</v>
      </c>
      <c r="C745" s="55">
        <v>1.1299999999999999</v>
      </c>
      <c r="D745" s="55">
        <v>0.50849999999999995</v>
      </c>
      <c r="E745" s="28" t="s">
        <v>960</v>
      </c>
      <c r="F745" s="55">
        <v>0.47290499999999996</v>
      </c>
      <c r="G745" s="29">
        <v>44652</v>
      </c>
      <c r="H745" s="30">
        <v>44926</v>
      </c>
    </row>
    <row r="746" spans="1:8" x14ac:dyDescent="0.2">
      <c r="A746" s="32">
        <v>920278</v>
      </c>
      <c r="B746" s="27" t="s">
        <v>526</v>
      </c>
      <c r="C746" s="55">
        <v>1.3650000000000002</v>
      </c>
      <c r="D746" s="55">
        <v>0.61425000000000007</v>
      </c>
      <c r="E746" s="28" t="s">
        <v>960</v>
      </c>
      <c r="F746" s="55">
        <v>0.57125250000000005</v>
      </c>
      <c r="G746" s="29">
        <v>44652</v>
      </c>
      <c r="H746" s="30">
        <v>44926</v>
      </c>
    </row>
    <row r="747" spans="1:8" x14ac:dyDescent="0.2">
      <c r="A747" s="32">
        <v>920283</v>
      </c>
      <c r="B747" s="27" t="s">
        <v>527</v>
      </c>
      <c r="C747" s="55">
        <v>3.2025000000000001</v>
      </c>
      <c r="D747" s="55">
        <v>1.441125</v>
      </c>
      <c r="E747" s="28" t="s">
        <v>960</v>
      </c>
      <c r="F747" s="55">
        <v>1.3402462500000001</v>
      </c>
      <c r="G747" s="29">
        <v>44652</v>
      </c>
      <c r="H747" s="30">
        <v>44926</v>
      </c>
    </row>
    <row r="748" spans="1:8" x14ac:dyDescent="0.2">
      <c r="A748" s="32">
        <v>920284</v>
      </c>
      <c r="B748" s="27" t="s">
        <v>528</v>
      </c>
      <c r="C748" s="55">
        <v>1.218</v>
      </c>
      <c r="D748" s="55">
        <v>0.54810000000000003</v>
      </c>
      <c r="E748" s="28" t="s">
        <v>960</v>
      </c>
      <c r="F748" s="55">
        <v>0.5097330000000001</v>
      </c>
      <c r="G748" s="29">
        <v>44652</v>
      </c>
      <c r="H748" s="30">
        <v>44926</v>
      </c>
    </row>
    <row r="749" spans="1:8" x14ac:dyDescent="0.2">
      <c r="A749" s="32">
        <v>920300</v>
      </c>
      <c r="B749" s="27" t="s">
        <v>529</v>
      </c>
      <c r="C749" s="55">
        <v>3.7065000000000001</v>
      </c>
      <c r="D749" s="55">
        <v>1.6679250000000001</v>
      </c>
      <c r="E749" s="28" t="s">
        <v>960</v>
      </c>
      <c r="F749" s="55">
        <v>1.5511702500000002</v>
      </c>
      <c r="G749" s="29">
        <v>44652</v>
      </c>
      <c r="H749" s="30">
        <v>44926</v>
      </c>
    </row>
    <row r="750" spans="1:8" x14ac:dyDescent="0.2">
      <c r="A750" s="32">
        <v>920306</v>
      </c>
      <c r="B750" s="27" t="s">
        <v>530</v>
      </c>
      <c r="C750" s="55">
        <v>0.94500000000000006</v>
      </c>
      <c r="D750" s="55">
        <v>0.42525000000000002</v>
      </c>
      <c r="E750" s="28" t="s">
        <v>960</v>
      </c>
      <c r="F750" s="55">
        <v>0.39548250000000001</v>
      </c>
      <c r="G750" s="29">
        <v>44652</v>
      </c>
      <c r="H750" s="30">
        <v>44926</v>
      </c>
    </row>
    <row r="751" spans="1:8" x14ac:dyDescent="0.2">
      <c r="A751" s="32">
        <v>920307</v>
      </c>
      <c r="B751" s="27" t="s">
        <v>531</v>
      </c>
      <c r="C751" s="55">
        <v>0.90300000000000002</v>
      </c>
      <c r="D751" s="55">
        <v>0.40635000000000004</v>
      </c>
      <c r="E751" s="28" t="s">
        <v>960</v>
      </c>
      <c r="F751" s="55">
        <v>0.37790550000000006</v>
      </c>
      <c r="G751" s="29">
        <v>44652</v>
      </c>
      <c r="H751" s="30">
        <v>44926</v>
      </c>
    </row>
    <row r="752" spans="1:8" x14ac:dyDescent="0.2">
      <c r="A752" s="32">
        <v>920311</v>
      </c>
      <c r="B752" s="27" t="s">
        <v>962</v>
      </c>
      <c r="C752" s="55">
        <v>1.23</v>
      </c>
      <c r="D752" s="55">
        <v>0.55349999999999999</v>
      </c>
      <c r="E752" s="28" t="s">
        <v>960</v>
      </c>
      <c r="F752" s="55">
        <v>0.51475500000000007</v>
      </c>
      <c r="G752" s="29">
        <v>44652</v>
      </c>
      <c r="H752" s="30">
        <v>44926</v>
      </c>
    </row>
    <row r="753" spans="1:8" x14ac:dyDescent="0.2">
      <c r="A753" s="32">
        <v>920316</v>
      </c>
      <c r="B753" s="27" t="s">
        <v>532</v>
      </c>
      <c r="C753" s="55">
        <v>1.1599999999999999</v>
      </c>
      <c r="D753" s="55">
        <v>0.52200000000000002</v>
      </c>
      <c r="E753" s="28" t="s">
        <v>960</v>
      </c>
      <c r="F753" s="55">
        <v>0.48546000000000006</v>
      </c>
      <c r="G753" s="29">
        <v>44652</v>
      </c>
      <c r="H753" s="30">
        <v>44926</v>
      </c>
    </row>
    <row r="754" spans="1:8" x14ac:dyDescent="0.2">
      <c r="A754" s="32">
        <v>920318</v>
      </c>
      <c r="B754" s="27" t="s">
        <v>533</v>
      </c>
      <c r="C754" s="55">
        <v>1.43</v>
      </c>
      <c r="D754" s="55">
        <v>0.64349999999999996</v>
      </c>
      <c r="E754" s="28" t="s">
        <v>960</v>
      </c>
      <c r="F754" s="55">
        <v>0.59845499999999996</v>
      </c>
      <c r="G754" s="29">
        <v>44652</v>
      </c>
      <c r="H754" s="30">
        <v>44926</v>
      </c>
    </row>
    <row r="755" spans="1:8" x14ac:dyDescent="0.2">
      <c r="A755" s="32">
        <v>920320</v>
      </c>
      <c r="B755" s="27" t="s">
        <v>534</v>
      </c>
      <c r="C755" s="55">
        <v>1.47</v>
      </c>
      <c r="D755" s="55">
        <v>0.66149999999999998</v>
      </c>
      <c r="E755" s="28" t="s">
        <v>960</v>
      </c>
      <c r="F755" s="55">
        <v>0.61519500000000005</v>
      </c>
      <c r="G755" s="29">
        <v>44652</v>
      </c>
      <c r="H755" s="30">
        <v>44926</v>
      </c>
    </row>
    <row r="756" spans="1:8" x14ac:dyDescent="0.2">
      <c r="A756" s="32">
        <v>920323</v>
      </c>
      <c r="B756" s="27" t="s">
        <v>963</v>
      </c>
      <c r="C756" s="55">
        <v>1.2389999999999999</v>
      </c>
      <c r="D756" s="55">
        <v>0.55754999999999999</v>
      </c>
      <c r="E756" s="28" t="s">
        <v>960</v>
      </c>
      <c r="F756" s="55">
        <v>0.51852149999999997</v>
      </c>
      <c r="G756" s="29">
        <v>44652</v>
      </c>
      <c r="H756" s="30">
        <v>44926</v>
      </c>
    </row>
    <row r="757" spans="1:8" x14ac:dyDescent="0.2">
      <c r="A757" s="32">
        <v>920327</v>
      </c>
      <c r="B757" s="27" t="s">
        <v>535</v>
      </c>
      <c r="C757" s="55">
        <v>46.46</v>
      </c>
      <c r="D757" s="55">
        <v>20.907</v>
      </c>
      <c r="E757" s="28" t="s">
        <v>8</v>
      </c>
      <c r="F757" s="55"/>
      <c r="G757" s="29">
        <v>44652</v>
      </c>
      <c r="H757" s="30">
        <v>44926</v>
      </c>
    </row>
    <row r="758" spans="1:8" x14ac:dyDescent="0.2">
      <c r="A758" s="32">
        <v>920328</v>
      </c>
      <c r="B758" s="27" t="s">
        <v>1220</v>
      </c>
      <c r="C758" s="55">
        <v>60.5</v>
      </c>
      <c r="D758" s="55">
        <v>27.225000000000001</v>
      </c>
      <c r="E758" s="28" t="s">
        <v>8</v>
      </c>
      <c r="F758" s="55"/>
      <c r="G758" s="29">
        <v>44652</v>
      </c>
      <c r="H758" s="30">
        <v>44926</v>
      </c>
    </row>
    <row r="759" spans="1:8" x14ac:dyDescent="0.2">
      <c r="A759" s="32">
        <v>920329</v>
      </c>
      <c r="B759" s="27" t="s">
        <v>1216</v>
      </c>
      <c r="C759" s="55">
        <v>56</v>
      </c>
      <c r="D759" s="55">
        <v>25.2</v>
      </c>
      <c r="E759" s="28" t="s">
        <v>8</v>
      </c>
      <c r="F759" s="55"/>
      <c r="G759" s="29">
        <v>44652</v>
      </c>
      <c r="H759" s="30">
        <v>44926</v>
      </c>
    </row>
    <row r="760" spans="1:8" x14ac:dyDescent="0.2">
      <c r="A760" s="32">
        <v>920331</v>
      </c>
      <c r="B760" s="27" t="s">
        <v>536</v>
      </c>
      <c r="C760" s="55">
        <v>60</v>
      </c>
      <c r="D760" s="55">
        <v>27</v>
      </c>
      <c r="E760" s="28" t="s">
        <v>8</v>
      </c>
      <c r="F760" s="55"/>
      <c r="G760" s="29">
        <v>44652</v>
      </c>
      <c r="H760" s="30">
        <v>44926</v>
      </c>
    </row>
    <row r="761" spans="1:8" x14ac:dyDescent="0.2">
      <c r="A761" s="32">
        <v>920332</v>
      </c>
      <c r="B761" s="27" t="s">
        <v>1221</v>
      </c>
      <c r="C761" s="55">
        <v>79</v>
      </c>
      <c r="D761" s="55">
        <v>35.550000000000004</v>
      </c>
      <c r="E761" s="28" t="s">
        <v>8</v>
      </c>
      <c r="F761" s="55"/>
      <c r="G761" s="29">
        <v>44652</v>
      </c>
      <c r="H761" s="30">
        <v>44926</v>
      </c>
    </row>
    <row r="762" spans="1:8" x14ac:dyDescent="0.2">
      <c r="A762" s="32">
        <v>920333</v>
      </c>
      <c r="B762" s="27" t="s">
        <v>537</v>
      </c>
      <c r="C762" s="55">
        <v>64</v>
      </c>
      <c r="D762" s="55">
        <v>28.8</v>
      </c>
      <c r="E762" s="28" t="s">
        <v>8</v>
      </c>
      <c r="F762" s="55"/>
      <c r="G762" s="29">
        <v>44652</v>
      </c>
      <c r="H762" s="30">
        <v>44926</v>
      </c>
    </row>
    <row r="763" spans="1:8" x14ac:dyDescent="0.2">
      <c r="A763" s="32">
        <v>920334</v>
      </c>
      <c r="B763" s="27" t="s">
        <v>538</v>
      </c>
      <c r="C763" s="55">
        <v>72</v>
      </c>
      <c r="D763" s="55">
        <v>32.4</v>
      </c>
      <c r="E763" s="28" t="s">
        <v>8</v>
      </c>
      <c r="F763" s="55"/>
      <c r="G763" s="29">
        <v>44652</v>
      </c>
      <c r="H763" s="30">
        <v>44926</v>
      </c>
    </row>
    <row r="764" spans="1:8" x14ac:dyDescent="0.2">
      <c r="A764" s="32">
        <v>920343</v>
      </c>
      <c r="B764" s="27" t="s">
        <v>1217</v>
      </c>
      <c r="C764" s="55">
        <v>52</v>
      </c>
      <c r="D764" s="55">
        <v>23.400000000000002</v>
      </c>
      <c r="E764" s="28" t="s">
        <v>8</v>
      </c>
      <c r="F764" s="55"/>
      <c r="G764" s="29">
        <v>44652</v>
      </c>
      <c r="H764" s="30">
        <v>44926</v>
      </c>
    </row>
    <row r="765" spans="1:8" x14ac:dyDescent="0.2">
      <c r="A765" s="32">
        <v>920346</v>
      </c>
      <c r="B765" s="27" t="s">
        <v>1219</v>
      </c>
      <c r="C765" s="55">
        <v>48</v>
      </c>
      <c r="D765" s="55">
        <v>21.6</v>
      </c>
      <c r="E765" s="28" t="s">
        <v>8</v>
      </c>
      <c r="F765" s="55"/>
      <c r="G765" s="29">
        <v>44652</v>
      </c>
      <c r="H765" s="30">
        <v>44926</v>
      </c>
    </row>
    <row r="766" spans="1:8" x14ac:dyDescent="0.2">
      <c r="A766" s="32">
        <v>920355</v>
      </c>
      <c r="B766" s="27" t="s">
        <v>1218</v>
      </c>
      <c r="C766" s="55">
        <v>63</v>
      </c>
      <c r="D766" s="55">
        <v>28.35</v>
      </c>
      <c r="E766" s="28" t="s">
        <v>8</v>
      </c>
      <c r="F766" s="55"/>
      <c r="G766" s="29">
        <v>44652</v>
      </c>
      <c r="H766" s="30">
        <v>44926</v>
      </c>
    </row>
    <row r="767" spans="1:8" x14ac:dyDescent="0.2">
      <c r="A767" s="32">
        <v>920363</v>
      </c>
      <c r="B767" s="27" t="s">
        <v>539</v>
      </c>
      <c r="C767" s="55">
        <v>510</v>
      </c>
      <c r="D767" s="55">
        <v>229.5</v>
      </c>
      <c r="E767" s="28" t="s">
        <v>8</v>
      </c>
      <c r="F767" s="55"/>
      <c r="G767" s="29">
        <v>44652</v>
      </c>
      <c r="H767" s="30">
        <v>44926</v>
      </c>
    </row>
    <row r="768" spans="1:8" x14ac:dyDescent="0.2">
      <c r="A768" s="32">
        <v>920364</v>
      </c>
      <c r="B768" s="27" t="s">
        <v>1223</v>
      </c>
      <c r="C768" s="55">
        <v>505</v>
      </c>
      <c r="D768" s="55">
        <v>227.25</v>
      </c>
      <c r="E768" s="28" t="s">
        <v>8</v>
      </c>
      <c r="F768" s="55"/>
      <c r="G768" s="29">
        <v>44652</v>
      </c>
      <c r="H768" s="30">
        <v>44926</v>
      </c>
    </row>
    <row r="769" spans="1:8" x14ac:dyDescent="0.2">
      <c r="A769" s="32">
        <v>920365</v>
      </c>
      <c r="B769" s="27" t="s">
        <v>540</v>
      </c>
      <c r="C769" s="55">
        <v>278</v>
      </c>
      <c r="D769" s="55">
        <v>125.10000000000001</v>
      </c>
      <c r="E769" s="28" t="s">
        <v>8</v>
      </c>
      <c r="F769" s="55"/>
      <c r="G769" s="29">
        <v>44652</v>
      </c>
      <c r="H769" s="30">
        <v>44926</v>
      </c>
    </row>
    <row r="770" spans="1:8" x14ac:dyDescent="0.2">
      <c r="A770" s="32">
        <v>920366</v>
      </c>
      <c r="B770" s="27" t="s">
        <v>541</v>
      </c>
      <c r="C770" s="55">
        <v>269</v>
      </c>
      <c r="D770" s="55">
        <v>121.05</v>
      </c>
      <c r="E770" s="28" t="s">
        <v>8</v>
      </c>
      <c r="F770" s="55"/>
      <c r="G770" s="29">
        <v>44652</v>
      </c>
      <c r="H770" s="30">
        <v>44926</v>
      </c>
    </row>
    <row r="771" spans="1:8" x14ac:dyDescent="0.2">
      <c r="A771" s="32">
        <v>920367</v>
      </c>
      <c r="B771" s="27" t="s">
        <v>542</v>
      </c>
      <c r="C771" s="55">
        <v>7.6334999999999997</v>
      </c>
      <c r="D771" s="55">
        <v>3.4350749999999999</v>
      </c>
      <c r="E771" s="28" t="s">
        <v>960</v>
      </c>
      <c r="F771" s="55">
        <v>3.1946197500000002</v>
      </c>
      <c r="G771" s="29">
        <v>44652</v>
      </c>
      <c r="H771" s="30">
        <v>44926</v>
      </c>
    </row>
    <row r="772" spans="1:8" x14ac:dyDescent="0.2">
      <c r="A772" s="32">
        <v>920371</v>
      </c>
      <c r="B772" s="27" t="s">
        <v>543</v>
      </c>
      <c r="C772" s="55">
        <v>1009.6065</v>
      </c>
      <c r="D772" s="55">
        <v>454.322925</v>
      </c>
      <c r="E772" s="28" t="s">
        <v>8</v>
      </c>
      <c r="F772" s="55"/>
      <c r="G772" s="29">
        <v>44652</v>
      </c>
      <c r="H772" s="30">
        <v>44926</v>
      </c>
    </row>
    <row r="773" spans="1:8" x14ac:dyDescent="0.2">
      <c r="A773" s="32">
        <v>920372</v>
      </c>
      <c r="B773" s="27" t="s">
        <v>544</v>
      </c>
      <c r="C773" s="55">
        <v>1691.6025</v>
      </c>
      <c r="D773" s="55">
        <v>761.22112500000003</v>
      </c>
      <c r="E773" s="28" t="s">
        <v>8</v>
      </c>
      <c r="F773" s="55"/>
      <c r="G773" s="29">
        <v>44652</v>
      </c>
      <c r="H773" s="30">
        <v>44926</v>
      </c>
    </row>
    <row r="774" spans="1:8" x14ac:dyDescent="0.2">
      <c r="A774" s="32">
        <v>920373</v>
      </c>
      <c r="B774" s="27" t="s">
        <v>545</v>
      </c>
      <c r="C774" s="55">
        <v>5065.6724999999997</v>
      </c>
      <c r="D774" s="55">
        <v>2279.5526249999998</v>
      </c>
      <c r="E774" s="28" t="s">
        <v>8</v>
      </c>
      <c r="F774" s="55"/>
      <c r="G774" s="29">
        <v>44652</v>
      </c>
      <c r="H774" s="30">
        <v>44926</v>
      </c>
    </row>
    <row r="775" spans="1:8" x14ac:dyDescent="0.2">
      <c r="A775" s="32">
        <v>920374</v>
      </c>
      <c r="B775" s="27" t="s">
        <v>546</v>
      </c>
      <c r="C775" s="55">
        <v>4123.665</v>
      </c>
      <c r="D775" s="55">
        <v>1855.6492499999999</v>
      </c>
      <c r="E775" s="28" t="s">
        <v>8</v>
      </c>
      <c r="F775" s="55"/>
      <c r="G775" s="29">
        <v>44652</v>
      </c>
      <c r="H775" s="30">
        <v>44926</v>
      </c>
    </row>
    <row r="776" spans="1:8" x14ac:dyDescent="0.2">
      <c r="A776" s="32">
        <v>920376</v>
      </c>
      <c r="B776" s="27" t="s">
        <v>547</v>
      </c>
      <c r="C776" s="55">
        <v>5956.7025000000003</v>
      </c>
      <c r="D776" s="55">
        <v>2680.5161250000001</v>
      </c>
      <c r="E776" s="28" t="s">
        <v>8</v>
      </c>
      <c r="F776" s="55"/>
      <c r="G776" s="29">
        <v>44652</v>
      </c>
      <c r="H776" s="30">
        <v>44926</v>
      </c>
    </row>
    <row r="777" spans="1:8" x14ac:dyDescent="0.2">
      <c r="A777" s="32">
        <v>920378</v>
      </c>
      <c r="B777" s="27" t="s">
        <v>548</v>
      </c>
      <c r="C777" s="55">
        <v>20.916000000000004</v>
      </c>
      <c r="D777" s="55">
        <v>9.4122000000000021</v>
      </c>
      <c r="E777" s="28" t="s">
        <v>8</v>
      </c>
      <c r="F777" s="55"/>
      <c r="G777" s="29">
        <v>44652</v>
      </c>
      <c r="H777" s="30">
        <v>44926</v>
      </c>
    </row>
    <row r="778" spans="1:8" x14ac:dyDescent="0.2">
      <c r="A778" s="32">
        <v>920379</v>
      </c>
      <c r="B778" s="27" t="s">
        <v>549</v>
      </c>
      <c r="C778" s="55">
        <v>32.455500000000001</v>
      </c>
      <c r="D778" s="55">
        <v>14.604975000000001</v>
      </c>
      <c r="E778" s="28" t="s">
        <v>8</v>
      </c>
      <c r="F778" s="55"/>
      <c r="G778" s="29">
        <v>44652</v>
      </c>
      <c r="H778" s="30">
        <v>44926</v>
      </c>
    </row>
    <row r="779" spans="1:8" x14ac:dyDescent="0.2">
      <c r="A779" s="32">
        <v>920399</v>
      </c>
      <c r="B779" s="27" t="s">
        <v>550</v>
      </c>
      <c r="C779" s="55">
        <v>1.7849999999999999</v>
      </c>
      <c r="D779" s="55">
        <v>0.80325000000000002</v>
      </c>
      <c r="E779" s="28" t="s">
        <v>954</v>
      </c>
      <c r="F779" s="55">
        <v>0.74702250000000003</v>
      </c>
      <c r="G779" s="29">
        <v>44652</v>
      </c>
      <c r="H779" s="30">
        <v>44926</v>
      </c>
    </row>
    <row r="780" spans="1:8" x14ac:dyDescent="0.2">
      <c r="A780" s="32">
        <v>920402</v>
      </c>
      <c r="B780" s="27" t="s">
        <v>551</v>
      </c>
      <c r="C780" s="55">
        <v>18.82</v>
      </c>
      <c r="D780" s="55">
        <v>8.4690000000000012</v>
      </c>
      <c r="E780" s="28" t="s">
        <v>954</v>
      </c>
      <c r="F780" s="55">
        <v>7.8761700000000019</v>
      </c>
      <c r="G780" s="29">
        <v>44652</v>
      </c>
      <c r="H780" s="30">
        <v>44926</v>
      </c>
    </row>
    <row r="781" spans="1:8" x14ac:dyDescent="0.2">
      <c r="A781" s="32">
        <v>920403</v>
      </c>
      <c r="B781" s="27" t="s">
        <v>552</v>
      </c>
      <c r="C781" s="55">
        <v>3999.66</v>
      </c>
      <c r="D781" s="55">
        <v>1799.847</v>
      </c>
      <c r="E781" s="28" t="s">
        <v>8</v>
      </c>
      <c r="F781" s="55"/>
      <c r="G781" s="29">
        <v>44652</v>
      </c>
      <c r="H781" s="30">
        <v>44926</v>
      </c>
    </row>
    <row r="782" spans="1:8" x14ac:dyDescent="0.2">
      <c r="A782" s="32">
        <v>920404</v>
      </c>
      <c r="B782" s="27" t="s">
        <v>553</v>
      </c>
      <c r="C782" s="55">
        <v>4055.2890000000002</v>
      </c>
      <c r="D782" s="55">
        <v>1824.8800500000002</v>
      </c>
      <c r="E782" s="28" t="s">
        <v>8</v>
      </c>
      <c r="F782" s="55"/>
      <c r="G782" s="29">
        <v>44652</v>
      </c>
      <c r="H782" s="30">
        <v>44926</v>
      </c>
    </row>
    <row r="783" spans="1:8" x14ac:dyDescent="0.2">
      <c r="A783" s="26">
        <v>920409</v>
      </c>
      <c r="B783" s="27" t="s">
        <v>955</v>
      </c>
      <c r="C783" s="55">
        <v>71</v>
      </c>
      <c r="D783" s="55">
        <v>31.95</v>
      </c>
      <c r="E783" s="28" t="s">
        <v>954</v>
      </c>
      <c r="F783" s="55">
        <v>29.7135</v>
      </c>
      <c r="G783" s="29">
        <v>44652</v>
      </c>
      <c r="H783" s="30">
        <v>44926</v>
      </c>
    </row>
    <row r="784" spans="1:8" x14ac:dyDescent="0.2">
      <c r="A784" s="32">
        <v>920411</v>
      </c>
      <c r="B784" s="27" t="s">
        <v>554</v>
      </c>
      <c r="C784" s="55">
        <v>1.2</v>
      </c>
      <c r="D784" s="55">
        <v>0.54</v>
      </c>
      <c r="E784" s="28" t="s">
        <v>960</v>
      </c>
      <c r="F784" s="55">
        <v>0.50220000000000009</v>
      </c>
      <c r="G784" s="29">
        <v>44652</v>
      </c>
      <c r="H784" s="30">
        <v>44926</v>
      </c>
    </row>
    <row r="785" spans="1:8" x14ac:dyDescent="0.2">
      <c r="A785" s="32">
        <v>920412</v>
      </c>
      <c r="B785" s="27" t="s">
        <v>555</v>
      </c>
      <c r="C785" s="55">
        <v>0.78750000000000009</v>
      </c>
      <c r="D785" s="55">
        <v>0.35437500000000005</v>
      </c>
      <c r="E785" s="28" t="s">
        <v>960</v>
      </c>
      <c r="F785" s="55">
        <v>0.32956875000000008</v>
      </c>
      <c r="G785" s="29">
        <v>44652</v>
      </c>
      <c r="H785" s="30">
        <v>44926</v>
      </c>
    </row>
    <row r="786" spans="1:8" x14ac:dyDescent="0.2">
      <c r="A786" s="32">
        <v>920413</v>
      </c>
      <c r="B786" s="27" t="s">
        <v>556</v>
      </c>
      <c r="C786" s="55">
        <v>0.97650000000000015</v>
      </c>
      <c r="D786" s="55">
        <v>0.43942500000000007</v>
      </c>
      <c r="E786" s="28" t="s">
        <v>960</v>
      </c>
      <c r="F786" s="55">
        <v>0.40866525000000009</v>
      </c>
      <c r="G786" s="29">
        <v>44652</v>
      </c>
      <c r="H786" s="30">
        <v>44926</v>
      </c>
    </row>
    <row r="787" spans="1:8" x14ac:dyDescent="0.2">
      <c r="A787" s="32">
        <v>920414</v>
      </c>
      <c r="B787" s="27" t="s">
        <v>557</v>
      </c>
      <c r="C787" s="55">
        <v>8.25</v>
      </c>
      <c r="D787" s="55">
        <v>3.7124999999999999</v>
      </c>
      <c r="E787" s="28" t="s">
        <v>954</v>
      </c>
      <c r="F787" s="55">
        <v>3.4526250000000003</v>
      </c>
      <c r="G787" s="29">
        <v>44652</v>
      </c>
      <c r="H787" s="30">
        <v>44926</v>
      </c>
    </row>
    <row r="788" spans="1:8" x14ac:dyDescent="0.2">
      <c r="A788" s="32">
        <v>920418</v>
      </c>
      <c r="B788" s="27" t="s">
        <v>558</v>
      </c>
      <c r="C788" s="55">
        <v>0.189</v>
      </c>
      <c r="D788" s="55">
        <v>8.5050000000000001E-2</v>
      </c>
      <c r="E788" s="28" t="s">
        <v>961</v>
      </c>
      <c r="F788" s="55">
        <v>7.90965E-2</v>
      </c>
      <c r="G788" s="29">
        <v>44652</v>
      </c>
      <c r="H788" s="30">
        <v>44926</v>
      </c>
    </row>
    <row r="789" spans="1:8" x14ac:dyDescent="0.2">
      <c r="A789" s="32">
        <v>920420</v>
      </c>
      <c r="B789" s="27" t="s">
        <v>559</v>
      </c>
      <c r="C789" s="55">
        <v>0.97650000000000015</v>
      </c>
      <c r="D789" s="55">
        <v>0.43942500000000007</v>
      </c>
      <c r="E789" s="28" t="s">
        <v>960</v>
      </c>
      <c r="F789" s="55">
        <v>0.40866525000000009</v>
      </c>
      <c r="G789" s="29">
        <v>44652</v>
      </c>
      <c r="H789" s="30">
        <v>44926</v>
      </c>
    </row>
    <row r="790" spans="1:8" x14ac:dyDescent="0.2">
      <c r="A790" s="32">
        <v>920424</v>
      </c>
      <c r="B790" s="27" t="s">
        <v>560</v>
      </c>
      <c r="C790" s="55">
        <v>39.511500000000005</v>
      </c>
      <c r="D790" s="55">
        <v>17.780175000000003</v>
      </c>
      <c r="E790" s="28" t="s">
        <v>954</v>
      </c>
      <c r="F790" s="55">
        <v>16.535562750000004</v>
      </c>
      <c r="G790" s="29">
        <v>44652</v>
      </c>
      <c r="H790" s="30">
        <v>44926</v>
      </c>
    </row>
    <row r="791" spans="1:8" x14ac:dyDescent="0.2">
      <c r="A791" s="32">
        <v>920430</v>
      </c>
      <c r="B791" s="27" t="s">
        <v>561</v>
      </c>
      <c r="C791" s="55">
        <v>7.7175000000000002</v>
      </c>
      <c r="D791" s="55">
        <v>3.4728750000000002</v>
      </c>
      <c r="E791" s="28" t="s">
        <v>8</v>
      </c>
      <c r="F791" s="55"/>
      <c r="G791" s="29">
        <v>44652</v>
      </c>
      <c r="H791" s="30">
        <v>44926</v>
      </c>
    </row>
    <row r="792" spans="1:8" x14ac:dyDescent="0.2">
      <c r="A792" s="32">
        <v>920431</v>
      </c>
      <c r="B792" s="27" t="s">
        <v>562</v>
      </c>
      <c r="C792" s="55">
        <v>7.7385000000000002</v>
      </c>
      <c r="D792" s="55">
        <v>3.4823250000000003</v>
      </c>
      <c r="E792" s="28" t="s">
        <v>8</v>
      </c>
      <c r="F792" s="55"/>
      <c r="G792" s="29">
        <v>44652</v>
      </c>
      <c r="H792" s="30">
        <v>44926</v>
      </c>
    </row>
    <row r="793" spans="1:8" x14ac:dyDescent="0.2">
      <c r="A793" s="32">
        <v>920444</v>
      </c>
      <c r="B793" s="27" t="s">
        <v>563</v>
      </c>
      <c r="C793" s="55">
        <v>0.92400000000000004</v>
      </c>
      <c r="D793" s="55">
        <v>0.4158</v>
      </c>
      <c r="E793" s="28" t="s">
        <v>960</v>
      </c>
      <c r="F793" s="55">
        <v>0.38669400000000004</v>
      </c>
      <c r="G793" s="29">
        <v>44652</v>
      </c>
      <c r="H793" s="30">
        <v>44926</v>
      </c>
    </row>
    <row r="794" spans="1:8" x14ac:dyDescent="0.2">
      <c r="A794" s="32">
        <v>920446</v>
      </c>
      <c r="B794" s="27" t="s">
        <v>564</v>
      </c>
      <c r="C794" s="55">
        <v>6.541500000000001</v>
      </c>
      <c r="D794" s="55">
        <v>2.9436750000000007</v>
      </c>
      <c r="E794" s="28" t="s">
        <v>954</v>
      </c>
      <c r="F794" s="55">
        <v>2.737617750000001</v>
      </c>
      <c r="G794" s="29">
        <v>44652</v>
      </c>
      <c r="H794" s="30">
        <v>44926</v>
      </c>
    </row>
    <row r="795" spans="1:8" x14ac:dyDescent="0.2">
      <c r="A795" s="32">
        <v>920449</v>
      </c>
      <c r="B795" s="27" t="s">
        <v>565</v>
      </c>
      <c r="C795" s="55">
        <v>5.5650000000000004</v>
      </c>
      <c r="D795" s="55">
        <v>2.5042500000000003</v>
      </c>
      <c r="E795" s="28" t="s">
        <v>8</v>
      </c>
      <c r="F795" s="55"/>
      <c r="G795" s="29">
        <v>44652</v>
      </c>
      <c r="H795" s="30">
        <v>44926</v>
      </c>
    </row>
    <row r="796" spans="1:8" x14ac:dyDescent="0.2">
      <c r="A796" s="32">
        <v>920450</v>
      </c>
      <c r="B796" s="27" t="s">
        <v>566</v>
      </c>
      <c r="C796" s="55">
        <v>27.499500000000001</v>
      </c>
      <c r="D796" s="55">
        <v>12.374775000000001</v>
      </c>
      <c r="E796" s="28" t="s">
        <v>8</v>
      </c>
      <c r="F796" s="55"/>
      <c r="G796" s="29">
        <v>44652</v>
      </c>
      <c r="H796" s="30">
        <v>44926</v>
      </c>
    </row>
    <row r="797" spans="1:8" x14ac:dyDescent="0.2">
      <c r="A797" s="26">
        <v>920451</v>
      </c>
      <c r="B797" s="27" t="s">
        <v>567</v>
      </c>
      <c r="C797" s="55">
        <v>3.8640000000000003</v>
      </c>
      <c r="D797" s="55">
        <v>1.7388000000000001</v>
      </c>
      <c r="E797" s="28" t="s">
        <v>954</v>
      </c>
      <c r="F797" s="55">
        <v>1.6170840000000002</v>
      </c>
      <c r="G797" s="29">
        <v>44652</v>
      </c>
      <c r="H797" s="30">
        <v>44926</v>
      </c>
    </row>
    <row r="798" spans="1:8" x14ac:dyDescent="0.2">
      <c r="A798" s="26">
        <v>920454</v>
      </c>
      <c r="B798" s="27" t="s">
        <v>568</v>
      </c>
      <c r="C798" s="55">
        <v>13</v>
      </c>
      <c r="D798" s="55">
        <v>5.8500000000000005</v>
      </c>
      <c r="E798" s="28" t="s">
        <v>954</v>
      </c>
      <c r="F798" s="55">
        <v>5.440500000000001</v>
      </c>
      <c r="G798" s="29">
        <v>44652</v>
      </c>
      <c r="H798" s="30">
        <v>44926</v>
      </c>
    </row>
    <row r="799" spans="1:8" x14ac:dyDescent="0.2">
      <c r="A799" s="32">
        <v>920459</v>
      </c>
      <c r="B799" s="27" t="s">
        <v>569</v>
      </c>
      <c r="C799" s="55">
        <v>10.4</v>
      </c>
      <c r="D799" s="55">
        <v>4.6800000000000006</v>
      </c>
      <c r="E799" s="28" t="s">
        <v>954</v>
      </c>
      <c r="F799" s="55">
        <v>4.3524000000000012</v>
      </c>
      <c r="G799" s="29">
        <v>44652</v>
      </c>
      <c r="H799" s="30">
        <v>44926</v>
      </c>
    </row>
    <row r="800" spans="1:8" x14ac:dyDescent="0.2">
      <c r="A800" s="32">
        <v>920460</v>
      </c>
      <c r="B800" s="27" t="s">
        <v>570</v>
      </c>
      <c r="C800" s="55">
        <v>8.1999999999999993</v>
      </c>
      <c r="D800" s="55">
        <v>3.69</v>
      </c>
      <c r="E800" s="28" t="s">
        <v>954</v>
      </c>
      <c r="F800" s="55">
        <v>3.4317000000000002</v>
      </c>
      <c r="G800" s="29">
        <v>44652</v>
      </c>
      <c r="H800" s="30">
        <v>44926</v>
      </c>
    </row>
    <row r="801" spans="1:8" x14ac:dyDescent="0.2">
      <c r="A801" s="26">
        <v>920464</v>
      </c>
      <c r="B801" s="27" t="s">
        <v>571</v>
      </c>
      <c r="C801" s="55">
        <v>12.3</v>
      </c>
      <c r="D801" s="55">
        <v>5.5350000000000001</v>
      </c>
      <c r="E801" s="28" t="s">
        <v>954</v>
      </c>
      <c r="F801" s="55">
        <v>5.1475500000000007</v>
      </c>
      <c r="G801" s="29">
        <v>44652</v>
      </c>
      <c r="H801" s="30">
        <v>44926</v>
      </c>
    </row>
    <row r="802" spans="1:8" x14ac:dyDescent="0.2">
      <c r="A802" s="32">
        <v>920467</v>
      </c>
      <c r="B802" s="27" t="s">
        <v>572</v>
      </c>
      <c r="C802" s="55">
        <v>17.104500000000002</v>
      </c>
      <c r="D802" s="55">
        <v>7.6970250000000009</v>
      </c>
      <c r="E802" s="28" t="s">
        <v>8</v>
      </c>
      <c r="F802" s="55"/>
      <c r="G802" s="29">
        <v>44652</v>
      </c>
      <c r="H802" s="30">
        <v>44926</v>
      </c>
    </row>
    <row r="803" spans="1:8" x14ac:dyDescent="0.2">
      <c r="A803" s="32">
        <v>920468</v>
      </c>
      <c r="B803" s="27" t="s">
        <v>573</v>
      </c>
      <c r="C803" s="55">
        <v>17.104500000000002</v>
      </c>
      <c r="D803" s="55">
        <v>7.6970250000000009</v>
      </c>
      <c r="E803" s="28" t="s">
        <v>8</v>
      </c>
      <c r="F803" s="55"/>
      <c r="G803" s="29">
        <v>44652</v>
      </c>
      <c r="H803" s="30">
        <v>44926</v>
      </c>
    </row>
    <row r="804" spans="1:8" x14ac:dyDescent="0.2">
      <c r="A804" s="32">
        <v>920470</v>
      </c>
      <c r="B804" s="27" t="s">
        <v>574</v>
      </c>
      <c r="C804" s="55">
        <v>2202.5115000000001</v>
      </c>
      <c r="D804" s="55">
        <v>991.13017500000001</v>
      </c>
      <c r="E804" s="28" t="s">
        <v>8</v>
      </c>
      <c r="F804" s="55"/>
      <c r="G804" s="29">
        <v>44652</v>
      </c>
      <c r="H804" s="30">
        <v>44926</v>
      </c>
    </row>
    <row r="805" spans="1:8" x14ac:dyDescent="0.2">
      <c r="A805" s="32">
        <v>920475</v>
      </c>
      <c r="B805" s="27" t="s">
        <v>575</v>
      </c>
      <c r="C805" s="55">
        <v>28.570500000000003</v>
      </c>
      <c r="D805" s="55">
        <v>12.856725000000001</v>
      </c>
      <c r="E805" s="28" t="s">
        <v>8</v>
      </c>
      <c r="F805" s="55"/>
      <c r="G805" s="29">
        <v>44652</v>
      </c>
      <c r="H805" s="30">
        <v>44926</v>
      </c>
    </row>
    <row r="806" spans="1:8" x14ac:dyDescent="0.2">
      <c r="A806" s="32">
        <v>920476</v>
      </c>
      <c r="B806" s="27" t="s">
        <v>576</v>
      </c>
      <c r="C806" s="55">
        <v>28.539000000000001</v>
      </c>
      <c r="D806" s="55">
        <v>12.842550000000001</v>
      </c>
      <c r="E806" s="28" t="s">
        <v>8</v>
      </c>
      <c r="F806" s="55"/>
      <c r="G806" s="29">
        <v>44652</v>
      </c>
      <c r="H806" s="30">
        <v>44926</v>
      </c>
    </row>
    <row r="807" spans="1:8" x14ac:dyDescent="0.2">
      <c r="A807" s="32">
        <v>920485</v>
      </c>
      <c r="B807" s="27" t="s">
        <v>1002</v>
      </c>
      <c r="C807" s="55">
        <v>1138.46</v>
      </c>
      <c r="D807" s="55">
        <v>512.30700000000002</v>
      </c>
      <c r="E807" s="28" t="s">
        <v>8</v>
      </c>
      <c r="F807" s="55"/>
      <c r="G807" s="29">
        <v>44652</v>
      </c>
      <c r="H807" s="30">
        <v>44926</v>
      </c>
    </row>
    <row r="808" spans="1:8" x14ac:dyDescent="0.2">
      <c r="A808" s="32">
        <v>920487</v>
      </c>
      <c r="B808" s="27" t="s">
        <v>577</v>
      </c>
      <c r="C808" s="55">
        <v>4.3049999999999997</v>
      </c>
      <c r="D808" s="55">
        <v>1.9372499999999999</v>
      </c>
      <c r="E808" s="28" t="s">
        <v>8</v>
      </c>
      <c r="F808" s="55"/>
      <c r="G808" s="29">
        <v>44652</v>
      </c>
      <c r="H808" s="30">
        <v>44926</v>
      </c>
    </row>
    <row r="809" spans="1:8" x14ac:dyDescent="0.2">
      <c r="A809" s="32">
        <v>920491</v>
      </c>
      <c r="B809" s="27" t="s">
        <v>979</v>
      </c>
      <c r="C809" s="55">
        <v>40.582500000000003</v>
      </c>
      <c r="D809" s="55">
        <v>18.262125000000001</v>
      </c>
      <c r="E809" s="28" t="s">
        <v>8</v>
      </c>
      <c r="F809" s="55"/>
      <c r="G809" s="29">
        <v>44652</v>
      </c>
      <c r="H809" s="30">
        <v>44926</v>
      </c>
    </row>
    <row r="810" spans="1:8" x14ac:dyDescent="0.2">
      <c r="A810" s="32">
        <v>920493</v>
      </c>
      <c r="B810" s="27" t="s">
        <v>976</v>
      </c>
      <c r="C810" s="55">
        <v>71.998499999999993</v>
      </c>
      <c r="D810" s="55">
        <v>32.399324999999997</v>
      </c>
      <c r="E810" s="28" t="s">
        <v>8</v>
      </c>
      <c r="F810" s="55"/>
      <c r="G810" s="29">
        <v>44652</v>
      </c>
      <c r="H810" s="30">
        <v>44926</v>
      </c>
    </row>
    <row r="811" spans="1:8" x14ac:dyDescent="0.2">
      <c r="A811" s="32">
        <v>920494</v>
      </c>
      <c r="B811" s="27" t="s">
        <v>974</v>
      </c>
      <c r="C811" s="55">
        <v>67.2</v>
      </c>
      <c r="D811" s="55">
        <v>30.240000000000002</v>
      </c>
      <c r="E811" s="28" t="s">
        <v>8</v>
      </c>
      <c r="F811" s="55"/>
      <c r="G811" s="29">
        <v>44652</v>
      </c>
      <c r="H811" s="30">
        <v>44926</v>
      </c>
    </row>
    <row r="812" spans="1:8" x14ac:dyDescent="0.2">
      <c r="A812" s="32">
        <v>920495</v>
      </c>
      <c r="B812" s="27" t="s">
        <v>578</v>
      </c>
      <c r="C812" s="55">
        <v>4.4415000000000004</v>
      </c>
      <c r="D812" s="55">
        <v>1.9986750000000002</v>
      </c>
      <c r="E812" s="28" t="s">
        <v>8</v>
      </c>
      <c r="F812" s="55"/>
      <c r="G812" s="29">
        <v>44652</v>
      </c>
      <c r="H812" s="30">
        <v>44926</v>
      </c>
    </row>
    <row r="813" spans="1:8" x14ac:dyDescent="0.2">
      <c r="A813" s="26">
        <v>920497</v>
      </c>
      <c r="B813" s="27" t="s">
        <v>956</v>
      </c>
      <c r="C813" s="55">
        <v>12</v>
      </c>
      <c r="D813" s="55">
        <v>5.4</v>
      </c>
      <c r="E813" s="28" t="s">
        <v>954</v>
      </c>
      <c r="F813" s="55">
        <v>5.0220000000000002</v>
      </c>
      <c r="G813" s="29">
        <v>44652</v>
      </c>
      <c r="H813" s="30">
        <v>44926</v>
      </c>
    </row>
    <row r="814" spans="1:8" x14ac:dyDescent="0.2">
      <c r="A814" s="32">
        <v>920507</v>
      </c>
      <c r="B814" s="27" t="s">
        <v>579</v>
      </c>
      <c r="C814" s="55">
        <v>243.768</v>
      </c>
      <c r="D814" s="55">
        <v>109.6956</v>
      </c>
      <c r="E814" s="28" t="s">
        <v>8</v>
      </c>
      <c r="F814" s="55"/>
      <c r="G814" s="29">
        <v>44652</v>
      </c>
      <c r="H814" s="30">
        <v>44926</v>
      </c>
    </row>
    <row r="815" spans="1:8" x14ac:dyDescent="0.2">
      <c r="A815" s="32">
        <v>920508</v>
      </c>
      <c r="B815" s="27" t="s">
        <v>580</v>
      </c>
      <c r="C815" s="55">
        <v>111.6675</v>
      </c>
      <c r="D815" s="55">
        <v>50.250375000000005</v>
      </c>
      <c r="E815" s="28" t="s">
        <v>8</v>
      </c>
      <c r="F815" s="55"/>
      <c r="G815" s="29">
        <v>44652</v>
      </c>
      <c r="H815" s="30">
        <v>44926</v>
      </c>
    </row>
    <row r="816" spans="1:8" x14ac:dyDescent="0.2">
      <c r="A816" s="32">
        <v>920509</v>
      </c>
      <c r="B816" s="27" t="s">
        <v>1003</v>
      </c>
      <c r="C816" s="55">
        <v>133.84350000000001</v>
      </c>
      <c r="D816" s="55">
        <v>60.229575000000004</v>
      </c>
      <c r="E816" s="28" t="s">
        <v>8</v>
      </c>
      <c r="F816" s="55"/>
      <c r="G816" s="29">
        <v>44652</v>
      </c>
      <c r="H816" s="30">
        <v>44926</v>
      </c>
    </row>
    <row r="817" spans="1:8" x14ac:dyDescent="0.2">
      <c r="A817" s="32">
        <v>920530</v>
      </c>
      <c r="B817" s="27" t="s">
        <v>581</v>
      </c>
      <c r="C817" s="55">
        <v>27.85</v>
      </c>
      <c r="D817" s="55">
        <v>12.532500000000001</v>
      </c>
      <c r="E817" s="28" t="s">
        <v>8</v>
      </c>
      <c r="F817" s="55"/>
      <c r="G817" s="29">
        <v>44652</v>
      </c>
      <c r="H817" s="30">
        <v>44926</v>
      </c>
    </row>
    <row r="818" spans="1:8" x14ac:dyDescent="0.2">
      <c r="A818" s="32">
        <v>920545</v>
      </c>
      <c r="B818" s="27" t="s">
        <v>582</v>
      </c>
      <c r="C818" s="55">
        <v>13.776</v>
      </c>
      <c r="D818" s="55">
        <v>6.1992000000000003</v>
      </c>
      <c r="E818" s="28" t="s">
        <v>8</v>
      </c>
      <c r="F818" s="55"/>
      <c r="G818" s="29">
        <v>44652</v>
      </c>
      <c r="H818" s="30">
        <v>44926</v>
      </c>
    </row>
    <row r="819" spans="1:8" x14ac:dyDescent="0.2">
      <c r="A819" s="32">
        <v>920551</v>
      </c>
      <c r="B819" s="27" t="s">
        <v>583</v>
      </c>
      <c r="C819" s="55">
        <v>39.459000000000003</v>
      </c>
      <c r="D819" s="55">
        <v>17.756550000000001</v>
      </c>
      <c r="E819" s="28" t="s">
        <v>8</v>
      </c>
      <c r="F819" s="55"/>
      <c r="G819" s="29">
        <v>44652</v>
      </c>
      <c r="H819" s="30">
        <v>44926</v>
      </c>
    </row>
    <row r="820" spans="1:8" x14ac:dyDescent="0.2">
      <c r="A820" s="32">
        <v>920564</v>
      </c>
      <c r="B820" s="27" t="s">
        <v>584</v>
      </c>
      <c r="C820" s="55">
        <v>82.897500000000008</v>
      </c>
      <c r="D820" s="55">
        <v>37.303875000000005</v>
      </c>
      <c r="E820" s="28" t="s">
        <v>8</v>
      </c>
      <c r="F820" s="55"/>
      <c r="G820" s="29">
        <v>44652</v>
      </c>
      <c r="H820" s="30">
        <v>44926</v>
      </c>
    </row>
    <row r="821" spans="1:8" x14ac:dyDescent="0.2">
      <c r="A821" s="32">
        <v>920567</v>
      </c>
      <c r="B821" s="27" t="s">
        <v>585</v>
      </c>
      <c r="C821" s="55">
        <v>117.51600000000001</v>
      </c>
      <c r="D821" s="55">
        <v>52.882200000000005</v>
      </c>
      <c r="E821" s="28" t="s">
        <v>8</v>
      </c>
      <c r="F821" s="55"/>
      <c r="G821" s="29">
        <v>44652</v>
      </c>
      <c r="H821" s="30">
        <v>44926</v>
      </c>
    </row>
    <row r="822" spans="1:8" x14ac:dyDescent="0.2">
      <c r="A822" s="32">
        <v>920580</v>
      </c>
      <c r="B822" s="27" t="s">
        <v>586</v>
      </c>
      <c r="C822" s="55">
        <v>4.7040000000000006</v>
      </c>
      <c r="D822" s="55">
        <v>2.1168000000000005</v>
      </c>
      <c r="E822" s="28" t="s">
        <v>8</v>
      </c>
      <c r="F822" s="55"/>
      <c r="G822" s="29">
        <v>44652</v>
      </c>
      <c r="H822" s="30">
        <v>44926</v>
      </c>
    </row>
    <row r="823" spans="1:8" x14ac:dyDescent="0.2">
      <c r="A823" s="32">
        <v>920582</v>
      </c>
      <c r="B823" s="27" t="s">
        <v>587</v>
      </c>
      <c r="C823" s="55">
        <v>837.11250000000007</v>
      </c>
      <c r="D823" s="55">
        <v>376.70062500000006</v>
      </c>
      <c r="E823" s="28" t="s">
        <v>8</v>
      </c>
      <c r="F823" s="55"/>
      <c r="G823" s="29">
        <v>44652</v>
      </c>
      <c r="H823" s="30">
        <v>44926</v>
      </c>
    </row>
    <row r="824" spans="1:8" x14ac:dyDescent="0.2">
      <c r="A824" s="32">
        <v>920584</v>
      </c>
      <c r="B824" s="27" t="s">
        <v>588</v>
      </c>
      <c r="C824" s="55">
        <v>4537.8060000000005</v>
      </c>
      <c r="D824" s="55">
        <v>2042.0127000000002</v>
      </c>
      <c r="E824" s="28" t="s">
        <v>8</v>
      </c>
      <c r="F824" s="55"/>
      <c r="G824" s="29">
        <v>44652</v>
      </c>
      <c r="H824" s="30">
        <v>44926</v>
      </c>
    </row>
    <row r="825" spans="1:8" x14ac:dyDescent="0.2">
      <c r="A825" s="32">
        <v>920590</v>
      </c>
      <c r="B825" s="27" t="s">
        <v>589</v>
      </c>
      <c r="C825" s="55">
        <v>313</v>
      </c>
      <c r="D825" s="55">
        <v>140.85</v>
      </c>
      <c r="E825" s="28" t="s">
        <v>8</v>
      </c>
      <c r="F825" s="55"/>
      <c r="G825" s="29">
        <v>44652</v>
      </c>
      <c r="H825" s="30">
        <v>44926</v>
      </c>
    </row>
    <row r="826" spans="1:8" x14ac:dyDescent="0.2">
      <c r="A826" s="32">
        <v>920591</v>
      </c>
      <c r="B826" s="27" t="s">
        <v>590</v>
      </c>
      <c r="C826" s="55">
        <v>313</v>
      </c>
      <c r="D826" s="55">
        <v>140.85</v>
      </c>
      <c r="E826" s="28" t="s">
        <v>8</v>
      </c>
      <c r="F826" s="55"/>
      <c r="G826" s="29">
        <v>44652</v>
      </c>
      <c r="H826" s="30">
        <v>44926</v>
      </c>
    </row>
    <row r="827" spans="1:8" x14ac:dyDescent="0.2">
      <c r="A827" s="32">
        <v>920596</v>
      </c>
      <c r="B827" s="27" t="s">
        <v>1226</v>
      </c>
      <c r="C827" s="55">
        <v>668.71350000000007</v>
      </c>
      <c r="D827" s="55">
        <v>300.92107500000003</v>
      </c>
      <c r="E827" s="28" t="s">
        <v>8</v>
      </c>
      <c r="F827" s="55"/>
      <c r="G827" s="29">
        <v>44652</v>
      </c>
      <c r="H827" s="30">
        <v>44926</v>
      </c>
    </row>
    <row r="828" spans="1:8" x14ac:dyDescent="0.2">
      <c r="A828" s="32">
        <v>920597</v>
      </c>
      <c r="B828" s="27" t="s">
        <v>591</v>
      </c>
      <c r="C828" s="55">
        <v>362.733</v>
      </c>
      <c r="D828" s="55">
        <v>163.22985</v>
      </c>
      <c r="E828" s="28" t="s">
        <v>8</v>
      </c>
      <c r="F828" s="55"/>
      <c r="G828" s="29">
        <v>44652</v>
      </c>
      <c r="H828" s="30">
        <v>44926</v>
      </c>
    </row>
    <row r="829" spans="1:8" x14ac:dyDescent="0.2">
      <c r="A829" s="32">
        <v>920598</v>
      </c>
      <c r="B829" s="27" t="s">
        <v>1227</v>
      </c>
      <c r="C829" s="55">
        <v>345.072</v>
      </c>
      <c r="D829" s="55">
        <v>155.2824</v>
      </c>
      <c r="E829" s="28" t="s">
        <v>8</v>
      </c>
      <c r="F829" s="55"/>
      <c r="G829" s="29">
        <v>44652</v>
      </c>
      <c r="H829" s="30">
        <v>44926</v>
      </c>
    </row>
    <row r="830" spans="1:8" x14ac:dyDescent="0.2">
      <c r="A830" s="32">
        <v>920600</v>
      </c>
      <c r="B830" s="27" t="s">
        <v>592</v>
      </c>
      <c r="C830" s="55">
        <v>2.1</v>
      </c>
      <c r="D830" s="55">
        <v>0.94500000000000006</v>
      </c>
      <c r="E830" s="28" t="s">
        <v>8</v>
      </c>
      <c r="F830" s="55"/>
      <c r="G830" s="29">
        <v>44652</v>
      </c>
      <c r="H830" s="30">
        <v>44926</v>
      </c>
    </row>
    <row r="831" spans="1:8" x14ac:dyDescent="0.2">
      <c r="A831" s="32">
        <v>920602</v>
      </c>
      <c r="B831" s="27" t="s">
        <v>593</v>
      </c>
      <c r="C831" s="55">
        <v>46.672500000000007</v>
      </c>
      <c r="D831" s="55">
        <v>21.002625000000002</v>
      </c>
      <c r="E831" s="28" t="s">
        <v>8</v>
      </c>
      <c r="F831" s="55"/>
      <c r="G831" s="29">
        <v>44652</v>
      </c>
      <c r="H831" s="30">
        <v>44926</v>
      </c>
    </row>
    <row r="832" spans="1:8" x14ac:dyDescent="0.2">
      <c r="A832" s="32">
        <v>920617</v>
      </c>
      <c r="B832" s="27" t="s">
        <v>594</v>
      </c>
      <c r="C832" s="55">
        <v>316.93199999999996</v>
      </c>
      <c r="D832" s="55">
        <v>142.61939999999998</v>
      </c>
      <c r="E832" s="28" t="s">
        <v>8</v>
      </c>
      <c r="F832" s="55"/>
      <c r="G832" s="29">
        <v>44652</v>
      </c>
      <c r="H832" s="30">
        <v>44926</v>
      </c>
    </row>
    <row r="833" spans="1:8" x14ac:dyDescent="0.2">
      <c r="A833" s="32">
        <v>920620</v>
      </c>
      <c r="B833" s="27" t="s">
        <v>595</v>
      </c>
      <c r="C833" s="55">
        <v>57</v>
      </c>
      <c r="D833" s="55">
        <v>25.650000000000002</v>
      </c>
      <c r="E833" s="28" t="s">
        <v>8</v>
      </c>
      <c r="F833" s="55"/>
      <c r="G833" s="29">
        <v>44652</v>
      </c>
      <c r="H833" s="30">
        <v>44926</v>
      </c>
    </row>
    <row r="834" spans="1:8" x14ac:dyDescent="0.2">
      <c r="A834" s="32">
        <v>920622</v>
      </c>
      <c r="B834" s="27" t="s">
        <v>596</v>
      </c>
      <c r="C834" s="55">
        <v>63.661500000000004</v>
      </c>
      <c r="D834" s="55">
        <v>28.647675000000003</v>
      </c>
      <c r="E834" s="28" t="s">
        <v>8</v>
      </c>
      <c r="F834" s="55"/>
      <c r="G834" s="29">
        <v>44652</v>
      </c>
      <c r="H834" s="30">
        <v>44926</v>
      </c>
    </row>
    <row r="835" spans="1:8" x14ac:dyDescent="0.2">
      <c r="A835" s="32">
        <v>920623</v>
      </c>
      <c r="B835" s="27" t="s">
        <v>597</v>
      </c>
      <c r="C835" s="55">
        <v>74.287500000000009</v>
      </c>
      <c r="D835" s="55">
        <v>33.429375000000007</v>
      </c>
      <c r="E835" s="28" t="s">
        <v>8</v>
      </c>
      <c r="F835" s="55"/>
      <c r="G835" s="29">
        <v>44652</v>
      </c>
      <c r="H835" s="30">
        <v>44926</v>
      </c>
    </row>
    <row r="836" spans="1:8" x14ac:dyDescent="0.2">
      <c r="A836" s="32">
        <v>920624</v>
      </c>
      <c r="B836" s="27" t="s">
        <v>598</v>
      </c>
      <c r="C836" s="55">
        <v>9.4710000000000001</v>
      </c>
      <c r="D836" s="55">
        <v>4.2619500000000006</v>
      </c>
      <c r="E836" s="28" t="s">
        <v>954</v>
      </c>
      <c r="F836" s="55">
        <v>3.9636135000000006</v>
      </c>
      <c r="G836" s="29">
        <v>44652</v>
      </c>
      <c r="H836" s="30">
        <v>44926</v>
      </c>
    </row>
    <row r="837" spans="1:8" x14ac:dyDescent="0.2">
      <c r="A837" s="32">
        <v>920625</v>
      </c>
      <c r="B837" s="27" t="s">
        <v>599</v>
      </c>
      <c r="C837" s="55">
        <v>6.5100000000000007</v>
      </c>
      <c r="D837" s="55">
        <v>2.9295000000000004</v>
      </c>
      <c r="E837" s="28" t="s">
        <v>954</v>
      </c>
      <c r="F837" s="55">
        <v>2.7244350000000006</v>
      </c>
      <c r="G837" s="29">
        <v>44652</v>
      </c>
      <c r="H837" s="30">
        <v>44926</v>
      </c>
    </row>
    <row r="838" spans="1:8" x14ac:dyDescent="0.2">
      <c r="A838" s="32">
        <v>920629</v>
      </c>
      <c r="B838" s="27" t="s">
        <v>600</v>
      </c>
      <c r="C838" s="55">
        <v>106.554</v>
      </c>
      <c r="D838" s="55">
        <v>47.949300000000001</v>
      </c>
      <c r="E838" s="28" t="s">
        <v>8</v>
      </c>
      <c r="F838" s="55"/>
      <c r="G838" s="29">
        <v>44652</v>
      </c>
      <c r="H838" s="30">
        <v>44926</v>
      </c>
    </row>
    <row r="839" spans="1:8" x14ac:dyDescent="0.2">
      <c r="A839" s="32">
        <v>920636</v>
      </c>
      <c r="B839" s="27" t="s">
        <v>1222</v>
      </c>
      <c r="C839" s="55">
        <v>46.5</v>
      </c>
      <c r="D839" s="55">
        <v>20.925000000000001</v>
      </c>
      <c r="E839" s="28" t="s">
        <v>8</v>
      </c>
      <c r="F839" s="55"/>
      <c r="G839" s="29">
        <v>44652</v>
      </c>
      <c r="H839" s="30">
        <v>44926</v>
      </c>
    </row>
    <row r="840" spans="1:8" x14ac:dyDescent="0.2">
      <c r="A840" s="32">
        <v>920640</v>
      </c>
      <c r="B840" s="27" t="s">
        <v>601</v>
      </c>
      <c r="C840" s="55">
        <v>12.5</v>
      </c>
      <c r="D840" s="55">
        <v>5.625</v>
      </c>
      <c r="E840" s="28" t="s">
        <v>8</v>
      </c>
      <c r="F840" s="55"/>
      <c r="G840" s="29">
        <v>44652</v>
      </c>
      <c r="H840" s="30">
        <v>44926</v>
      </c>
    </row>
    <row r="841" spans="1:8" x14ac:dyDescent="0.2">
      <c r="A841" s="32">
        <v>920645</v>
      </c>
      <c r="B841" s="27" t="s">
        <v>602</v>
      </c>
      <c r="C841" s="55">
        <v>12.3</v>
      </c>
      <c r="D841" s="55">
        <v>5.5350000000000001</v>
      </c>
      <c r="E841" s="28" t="s">
        <v>8</v>
      </c>
      <c r="F841" s="55"/>
      <c r="G841" s="29">
        <v>44652</v>
      </c>
      <c r="H841" s="30">
        <v>44926</v>
      </c>
    </row>
    <row r="842" spans="1:8" x14ac:dyDescent="0.2">
      <c r="A842" s="32">
        <v>920656</v>
      </c>
      <c r="B842" s="27" t="s">
        <v>603</v>
      </c>
      <c r="C842" s="55">
        <v>9.4499999999999993</v>
      </c>
      <c r="D842" s="55">
        <v>4.2524999999999995</v>
      </c>
      <c r="E842" s="28" t="s">
        <v>8</v>
      </c>
      <c r="F842" s="55"/>
      <c r="G842" s="29">
        <v>44652</v>
      </c>
      <c r="H842" s="30">
        <v>44926</v>
      </c>
    </row>
    <row r="843" spans="1:8" x14ac:dyDescent="0.2">
      <c r="A843" s="32">
        <v>920660</v>
      </c>
      <c r="B843" s="27" t="s">
        <v>604</v>
      </c>
      <c r="C843" s="55">
        <v>22.75</v>
      </c>
      <c r="D843" s="55">
        <v>10.237500000000001</v>
      </c>
      <c r="E843" s="28" t="s">
        <v>8</v>
      </c>
      <c r="F843" s="55"/>
      <c r="G843" s="29">
        <v>44652</v>
      </c>
      <c r="H843" s="30">
        <v>44926</v>
      </c>
    </row>
    <row r="844" spans="1:8" x14ac:dyDescent="0.2">
      <c r="A844" s="32">
        <v>920665</v>
      </c>
      <c r="B844" s="27" t="s">
        <v>605</v>
      </c>
      <c r="C844" s="55">
        <v>12.25</v>
      </c>
      <c r="D844" s="55">
        <v>5.5125000000000002</v>
      </c>
      <c r="E844" s="28" t="s">
        <v>8</v>
      </c>
      <c r="F844" s="55"/>
      <c r="G844" s="29">
        <v>44652</v>
      </c>
      <c r="H844" s="30">
        <v>44926</v>
      </c>
    </row>
    <row r="845" spans="1:8" x14ac:dyDescent="0.2">
      <c r="A845" s="32">
        <v>920666</v>
      </c>
      <c r="B845" s="27" t="s">
        <v>606</v>
      </c>
      <c r="C845" s="55">
        <v>22.6</v>
      </c>
      <c r="D845" s="55">
        <v>10.170000000000002</v>
      </c>
      <c r="E845" s="28" t="s">
        <v>8</v>
      </c>
      <c r="F845" s="55"/>
      <c r="G845" s="29">
        <v>44652</v>
      </c>
      <c r="H845" s="30">
        <v>44926</v>
      </c>
    </row>
    <row r="846" spans="1:8" x14ac:dyDescent="0.2">
      <c r="A846" s="32">
        <v>920675</v>
      </c>
      <c r="B846" s="27" t="s">
        <v>1104</v>
      </c>
      <c r="C846" s="55">
        <v>49.5</v>
      </c>
      <c r="D846" s="55">
        <v>22.275000000000002</v>
      </c>
      <c r="E846" s="28" t="s">
        <v>8</v>
      </c>
      <c r="F846" s="55"/>
      <c r="G846" s="29">
        <v>44652</v>
      </c>
      <c r="H846" s="30">
        <v>44926</v>
      </c>
    </row>
    <row r="847" spans="1:8" x14ac:dyDescent="0.2">
      <c r="A847" s="32">
        <v>920677</v>
      </c>
      <c r="B847" s="27" t="s">
        <v>607</v>
      </c>
      <c r="C847" s="55">
        <v>23.75</v>
      </c>
      <c r="D847" s="55">
        <v>10.6875</v>
      </c>
      <c r="E847" s="28" t="s">
        <v>8</v>
      </c>
      <c r="F847" s="55"/>
      <c r="G847" s="29">
        <v>44652</v>
      </c>
      <c r="H847" s="30">
        <v>44926</v>
      </c>
    </row>
    <row r="848" spans="1:8" x14ac:dyDescent="0.2">
      <c r="A848" s="26">
        <v>920682</v>
      </c>
      <c r="B848" s="27" t="s">
        <v>608</v>
      </c>
      <c r="C848" s="55">
        <v>2.7090000000000001</v>
      </c>
      <c r="D848" s="55">
        <v>1.21905</v>
      </c>
      <c r="E848" s="28" t="s">
        <v>954</v>
      </c>
      <c r="F848" s="55">
        <v>1.1337165</v>
      </c>
      <c r="G848" s="29">
        <v>44652</v>
      </c>
      <c r="H848" s="30">
        <v>44926</v>
      </c>
    </row>
    <row r="849" spans="1:8" x14ac:dyDescent="0.2">
      <c r="A849" s="32">
        <v>920685</v>
      </c>
      <c r="B849" s="27" t="s">
        <v>1004</v>
      </c>
      <c r="C849" s="55">
        <v>55.2</v>
      </c>
      <c r="D849" s="55">
        <v>24.840000000000003</v>
      </c>
      <c r="E849" s="28" t="s">
        <v>954</v>
      </c>
      <c r="F849" s="55">
        <v>23.101200000000006</v>
      </c>
      <c r="G849" s="29">
        <v>44652</v>
      </c>
      <c r="H849" s="30">
        <v>44926</v>
      </c>
    </row>
    <row r="850" spans="1:8" x14ac:dyDescent="0.2">
      <c r="A850" s="32">
        <v>920686</v>
      </c>
      <c r="B850" s="27" t="s">
        <v>609</v>
      </c>
      <c r="C850" s="55">
        <v>53.33</v>
      </c>
      <c r="D850" s="55">
        <v>23.9985</v>
      </c>
      <c r="E850" s="28" t="s">
        <v>954</v>
      </c>
      <c r="F850" s="55">
        <v>22.318605000000002</v>
      </c>
      <c r="G850" s="29">
        <v>44652</v>
      </c>
      <c r="H850" s="30">
        <v>44926</v>
      </c>
    </row>
    <row r="851" spans="1:8" x14ac:dyDescent="0.2">
      <c r="A851" s="32">
        <v>920687</v>
      </c>
      <c r="B851" s="27" t="s">
        <v>610</v>
      </c>
      <c r="C851" s="55">
        <v>50.4</v>
      </c>
      <c r="D851" s="55">
        <v>22.68</v>
      </c>
      <c r="E851" s="28" t="s">
        <v>954</v>
      </c>
      <c r="F851" s="55">
        <v>21.092400000000001</v>
      </c>
      <c r="G851" s="29">
        <v>44652</v>
      </c>
      <c r="H851" s="30">
        <v>44926</v>
      </c>
    </row>
    <row r="852" spans="1:8" x14ac:dyDescent="0.2">
      <c r="A852" s="32">
        <v>920688</v>
      </c>
      <c r="B852" s="27" t="s">
        <v>611</v>
      </c>
      <c r="C852" s="55">
        <v>50.400000000000006</v>
      </c>
      <c r="D852" s="55">
        <v>22.680000000000003</v>
      </c>
      <c r="E852" s="28" t="s">
        <v>954</v>
      </c>
      <c r="F852" s="55">
        <v>21.092400000000005</v>
      </c>
      <c r="G852" s="29">
        <v>44652</v>
      </c>
      <c r="H852" s="30">
        <v>44926</v>
      </c>
    </row>
    <row r="853" spans="1:8" x14ac:dyDescent="0.2">
      <c r="A853" s="32">
        <v>920692</v>
      </c>
      <c r="B853" s="27" t="s">
        <v>612</v>
      </c>
      <c r="C853" s="55">
        <v>127.89</v>
      </c>
      <c r="D853" s="55">
        <v>57.5505</v>
      </c>
      <c r="E853" s="28"/>
      <c r="F853" s="55">
        <v>53.521965000000002</v>
      </c>
      <c r="G853" s="29">
        <v>44652</v>
      </c>
      <c r="H853" s="30">
        <v>44926</v>
      </c>
    </row>
    <row r="854" spans="1:8" x14ac:dyDescent="0.2">
      <c r="A854" s="32">
        <v>920697</v>
      </c>
      <c r="B854" s="27" t="s">
        <v>613</v>
      </c>
      <c r="C854" s="55">
        <v>64</v>
      </c>
      <c r="D854" s="55">
        <v>28.8</v>
      </c>
      <c r="E854" s="28" t="s">
        <v>8</v>
      </c>
      <c r="F854" s="55"/>
      <c r="G854" s="29">
        <v>44652</v>
      </c>
      <c r="H854" s="30">
        <v>44926</v>
      </c>
    </row>
    <row r="855" spans="1:8" x14ac:dyDescent="0.2">
      <c r="A855" s="32">
        <v>920701</v>
      </c>
      <c r="B855" s="27" t="s">
        <v>614</v>
      </c>
      <c r="C855" s="55">
        <v>50.5</v>
      </c>
      <c r="D855" s="55">
        <v>22.725000000000001</v>
      </c>
      <c r="E855" s="28" t="s">
        <v>8</v>
      </c>
      <c r="F855" s="55"/>
      <c r="G855" s="29">
        <v>44652</v>
      </c>
      <c r="H855" s="30">
        <v>44926</v>
      </c>
    </row>
    <row r="856" spans="1:8" x14ac:dyDescent="0.2">
      <c r="A856" s="32">
        <v>920704</v>
      </c>
      <c r="B856" s="27" t="s">
        <v>1228</v>
      </c>
      <c r="C856" s="55">
        <v>62.936999999999998</v>
      </c>
      <c r="D856" s="55">
        <v>28.321649999999998</v>
      </c>
      <c r="E856" s="28" t="s">
        <v>8</v>
      </c>
      <c r="F856" s="55"/>
      <c r="G856" s="29">
        <v>44652</v>
      </c>
      <c r="H856" s="30">
        <v>44926</v>
      </c>
    </row>
    <row r="857" spans="1:8" x14ac:dyDescent="0.2">
      <c r="A857" s="32">
        <v>920715</v>
      </c>
      <c r="B857" s="27" t="s">
        <v>615</v>
      </c>
      <c r="C857" s="55">
        <v>14</v>
      </c>
      <c r="D857" s="55">
        <v>6.3</v>
      </c>
      <c r="E857" s="28" t="s">
        <v>8</v>
      </c>
      <c r="F857" s="55"/>
      <c r="G857" s="29">
        <v>44652</v>
      </c>
      <c r="H857" s="30">
        <v>44926</v>
      </c>
    </row>
    <row r="858" spans="1:8" x14ac:dyDescent="0.2">
      <c r="A858" s="32">
        <v>920716</v>
      </c>
      <c r="B858" s="27" t="s">
        <v>616</v>
      </c>
      <c r="C858" s="55">
        <v>14.25</v>
      </c>
      <c r="D858" s="55">
        <v>6.4125000000000005</v>
      </c>
      <c r="E858" s="28" t="s">
        <v>8</v>
      </c>
      <c r="F858" s="55"/>
      <c r="G858" s="29">
        <v>44652</v>
      </c>
      <c r="H858" s="30">
        <v>44926</v>
      </c>
    </row>
    <row r="859" spans="1:8" x14ac:dyDescent="0.2">
      <c r="A859" s="32">
        <v>920717</v>
      </c>
      <c r="B859" s="27" t="s">
        <v>617</v>
      </c>
      <c r="C859" s="55">
        <v>15.75</v>
      </c>
      <c r="D859" s="55">
        <v>7.0875000000000004</v>
      </c>
      <c r="E859" s="28" t="s">
        <v>8</v>
      </c>
      <c r="F859" s="55"/>
      <c r="G859" s="29">
        <v>44652</v>
      </c>
      <c r="H859" s="30">
        <v>44926</v>
      </c>
    </row>
    <row r="860" spans="1:8" x14ac:dyDescent="0.2">
      <c r="A860" s="32">
        <v>920718</v>
      </c>
      <c r="B860" s="27" t="s">
        <v>618</v>
      </c>
      <c r="C860" s="55">
        <v>12.0855</v>
      </c>
      <c r="D860" s="55">
        <v>5.4384750000000004</v>
      </c>
      <c r="E860" s="28" t="s">
        <v>8</v>
      </c>
      <c r="F860" s="55"/>
      <c r="G860" s="29">
        <v>44652</v>
      </c>
      <c r="H860" s="30">
        <v>44926</v>
      </c>
    </row>
    <row r="861" spans="1:8" x14ac:dyDescent="0.2">
      <c r="A861" s="32">
        <v>920721</v>
      </c>
      <c r="B861" s="27" t="s">
        <v>619</v>
      </c>
      <c r="C861" s="55">
        <v>10.75</v>
      </c>
      <c r="D861" s="55">
        <v>4.8375000000000004</v>
      </c>
      <c r="E861" s="28" t="s">
        <v>8</v>
      </c>
      <c r="F861" s="55"/>
      <c r="G861" s="29">
        <v>44652</v>
      </c>
      <c r="H861" s="30">
        <v>44926</v>
      </c>
    </row>
    <row r="862" spans="1:8" x14ac:dyDescent="0.2">
      <c r="A862" s="32">
        <v>920722</v>
      </c>
      <c r="B862" s="27" t="s">
        <v>1106</v>
      </c>
      <c r="C862" s="55">
        <v>13.1</v>
      </c>
      <c r="D862" s="55">
        <v>5.8949999999999996</v>
      </c>
      <c r="E862" s="28" t="s">
        <v>8</v>
      </c>
      <c r="F862" s="55"/>
      <c r="G862" s="29">
        <v>44652</v>
      </c>
      <c r="H862" s="30">
        <v>44926</v>
      </c>
    </row>
    <row r="863" spans="1:8" x14ac:dyDescent="0.2">
      <c r="A863" s="32">
        <v>920727</v>
      </c>
      <c r="B863" s="27" t="s">
        <v>1214</v>
      </c>
      <c r="C863" s="55">
        <v>59.5</v>
      </c>
      <c r="D863" s="55">
        <v>26.775000000000002</v>
      </c>
      <c r="E863" s="28" t="s">
        <v>8</v>
      </c>
      <c r="F863" s="55"/>
      <c r="G863" s="29">
        <v>44652</v>
      </c>
      <c r="H863" s="30">
        <v>44926</v>
      </c>
    </row>
    <row r="864" spans="1:8" x14ac:dyDescent="0.2">
      <c r="A864" s="32">
        <v>920728</v>
      </c>
      <c r="B864" s="27" t="s">
        <v>620</v>
      </c>
      <c r="C864" s="55">
        <v>57</v>
      </c>
      <c r="D864" s="55">
        <v>25.650000000000002</v>
      </c>
      <c r="E864" s="28" t="s">
        <v>8</v>
      </c>
      <c r="F864" s="55"/>
      <c r="G864" s="29">
        <v>44652</v>
      </c>
      <c r="H864" s="30">
        <v>44926</v>
      </c>
    </row>
    <row r="865" spans="1:8" x14ac:dyDescent="0.2">
      <c r="A865" s="32">
        <v>920736</v>
      </c>
      <c r="B865" s="27" t="s">
        <v>621</v>
      </c>
      <c r="C865" s="55">
        <v>128.3415</v>
      </c>
      <c r="D865" s="55">
        <v>57.753675000000001</v>
      </c>
      <c r="E865" s="28" t="s">
        <v>8</v>
      </c>
      <c r="F865" s="55"/>
      <c r="G865" s="29">
        <v>44652</v>
      </c>
      <c r="H865" s="30">
        <v>44926</v>
      </c>
    </row>
    <row r="866" spans="1:8" x14ac:dyDescent="0.2">
      <c r="A866" s="32">
        <v>920738</v>
      </c>
      <c r="B866" s="27" t="s">
        <v>622</v>
      </c>
      <c r="C866" s="55">
        <v>52.752000000000002</v>
      </c>
      <c r="D866" s="55">
        <v>23.738400000000002</v>
      </c>
      <c r="E866" s="28" t="s">
        <v>8</v>
      </c>
      <c r="F866" s="55"/>
      <c r="G866" s="29">
        <v>44652</v>
      </c>
      <c r="H866" s="30">
        <v>44926</v>
      </c>
    </row>
    <row r="867" spans="1:8" x14ac:dyDescent="0.2">
      <c r="A867" s="32">
        <v>920741</v>
      </c>
      <c r="B867" s="27" t="s">
        <v>623</v>
      </c>
      <c r="C867" s="55">
        <v>16.5</v>
      </c>
      <c r="D867" s="55">
        <v>7.4249999999999998</v>
      </c>
      <c r="E867" s="28" t="s">
        <v>8</v>
      </c>
      <c r="F867" s="55"/>
      <c r="G867" s="29">
        <v>44652</v>
      </c>
      <c r="H867" s="30">
        <v>44926</v>
      </c>
    </row>
    <row r="868" spans="1:8" x14ac:dyDescent="0.2">
      <c r="A868" s="32">
        <v>920742</v>
      </c>
      <c r="B868" s="27" t="s">
        <v>1229</v>
      </c>
      <c r="C868" s="55">
        <v>13.954499999999999</v>
      </c>
      <c r="D868" s="55">
        <v>6.2795249999999996</v>
      </c>
      <c r="E868" s="28" t="s">
        <v>954</v>
      </c>
      <c r="F868" s="55">
        <v>5.8399582499999996</v>
      </c>
      <c r="G868" s="29">
        <v>44652</v>
      </c>
      <c r="H868" s="30">
        <v>44926</v>
      </c>
    </row>
    <row r="869" spans="1:8" x14ac:dyDescent="0.2">
      <c r="A869" s="32">
        <v>920745</v>
      </c>
      <c r="B869" s="27" t="s">
        <v>624</v>
      </c>
      <c r="C869" s="55">
        <v>16</v>
      </c>
      <c r="D869" s="55">
        <v>7.2</v>
      </c>
      <c r="E869" s="28" t="s">
        <v>8</v>
      </c>
      <c r="F869" s="55"/>
      <c r="G869" s="29">
        <v>44652</v>
      </c>
      <c r="H869" s="30">
        <v>44926</v>
      </c>
    </row>
    <row r="870" spans="1:8" x14ac:dyDescent="0.2">
      <c r="A870" s="32">
        <v>920746</v>
      </c>
      <c r="B870" s="27" t="s">
        <v>625</v>
      </c>
      <c r="C870" s="55">
        <v>19.75</v>
      </c>
      <c r="D870" s="55">
        <v>8.8875000000000011</v>
      </c>
      <c r="E870" s="28" t="s">
        <v>8</v>
      </c>
      <c r="F870" s="55"/>
      <c r="G870" s="29">
        <v>44652</v>
      </c>
      <c r="H870" s="30">
        <v>44926</v>
      </c>
    </row>
    <row r="871" spans="1:8" x14ac:dyDescent="0.2">
      <c r="A871" s="32">
        <v>920747</v>
      </c>
      <c r="B871" s="27" t="s">
        <v>626</v>
      </c>
      <c r="C871" s="55">
        <v>16.399999999999999</v>
      </c>
      <c r="D871" s="55">
        <v>7.38</v>
      </c>
      <c r="E871" s="28" t="s">
        <v>8</v>
      </c>
      <c r="F871" s="55"/>
      <c r="G871" s="29">
        <v>44652</v>
      </c>
      <c r="H871" s="30">
        <v>44926</v>
      </c>
    </row>
    <row r="872" spans="1:8" x14ac:dyDescent="0.2">
      <c r="A872" s="32">
        <v>920748</v>
      </c>
      <c r="B872" s="27" t="s">
        <v>1107</v>
      </c>
      <c r="C872" s="55">
        <v>23.75</v>
      </c>
      <c r="D872" s="55">
        <v>10.6875</v>
      </c>
      <c r="E872" s="28" t="s">
        <v>8</v>
      </c>
      <c r="F872" s="55"/>
      <c r="G872" s="29">
        <v>44652</v>
      </c>
      <c r="H872" s="30">
        <v>44926</v>
      </c>
    </row>
    <row r="873" spans="1:8" x14ac:dyDescent="0.2">
      <c r="A873" s="32">
        <v>920750</v>
      </c>
      <c r="B873" s="27" t="s">
        <v>627</v>
      </c>
      <c r="C873" s="55">
        <v>11.3</v>
      </c>
      <c r="D873" s="55">
        <v>5.0850000000000009</v>
      </c>
      <c r="E873" s="28" t="s">
        <v>8</v>
      </c>
      <c r="F873" s="55"/>
      <c r="G873" s="29">
        <v>44652</v>
      </c>
      <c r="H873" s="30">
        <v>44926</v>
      </c>
    </row>
    <row r="874" spans="1:8" x14ac:dyDescent="0.2">
      <c r="A874" s="32">
        <v>920752</v>
      </c>
      <c r="B874" s="27" t="s">
        <v>628</v>
      </c>
      <c r="C874" s="55">
        <v>13.5</v>
      </c>
      <c r="D874" s="55">
        <v>6.0750000000000002</v>
      </c>
      <c r="E874" s="28" t="s">
        <v>8</v>
      </c>
      <c r="F874" s="55"/>
      <c r="G874" s="29">
        <v>44652</v>
      </c>
      <c r="H874" s="30">
        <v>44926</v>
      </c>
    </row>
    <row r="875" spans="1:8" x14ac:dyDescent="0.2">
      <c r="A875" s="32">
        <v>920755</v>
      </c>
      <c r="B875" s="27" t="s">
        <v>629</v>
      </c>
      <c r="C875" s="55">
        <v>8.5</v>
      </c>
      <c r="D875" s="55">
        <v>3.8250000000000002</v>
      </c>
      <c r="E875" s="28" t="s">
        <v>8</v>
      </c>
      <c r="F875" s="55"/>
      <c r="G875" s="29">
        <v>44652</v>
      </c>
      <c r="H875" s="30">
        <v>44926</v>
      </c>
    </row>
    <row r="876" spans="1:8" x14ac:dyDescent="0.2">
      <c r="A876" s="32">
        <v>920756</v>
      </c>
      <c r="B876" s="27" t="s">
        <v>630</v>
      </c>
      <c r="C876" s="55">
        <v>10.8</v>
      </c>
      <c r="D876" s="55">
        <v>4.8600000000000003</v>
      </c>
      <c r="E876" s="28" t="s">
        <v>8</v>
      </c>
      <c r="F876" s="55"/>
      <c r="G876" s="29">
        <v>44652</v>
      </c>
      <c r="H876" s="30">
        <v>44926</v>
      </c>
    </row>
    <row r="877" spans="1:8" x14ac:dyDescent="0.2">
      <c r="A877" s="32">
        <v>920757</v>
      </c>
      <c r="B877" s="27" t="s">
        <v>631</v>
      </c>
      <c r="C877" s="55">
        <v>9.1</v>
      </c>
      <c r="D877" s="55">
        <v>4.0949999999999998</v>
      </c>
      <c r="E877" s="28" t="s">
        <v>8</v>
      </c>
      <c r="F877" s="55"/>
      <c r="G877" s="29">
        <v>44652</v>
      </c>
      <c r="H877" s="30">
        <v>44926</v>
      </c>
    </row>
    <row r="878" spans="1:8" x14ac:dyDescent="0.2">
      <c r="A878" s="32">
        <v>920768</v>
      </c>
      <c r="B878" s="27" t="s">
        <v>1233</v>
      </c>
      <c r="C878" s="55">
        <v>41.307000000000002</v>
      </c>
      <c r="D878" s="55">
        <v>18.588150000000002</v>
      </c>
      <c r="E878" s="28" t="s">
        <v>8</v>
      </c>
      <c r="F878" s="55"/>
      <c r="G878" s="29">
        <v>44652</v>
      </c>
      <c r="H878" s="30">
        <v>44926</v>
      </c>
    </row>
    <row r="879" spans="1:8" x14ac:dyDescent="0.2">
      <c r="A879" s="32">
        <v>920770</v>
      </c>
      <c r="B879" s="27" t="s">
        <v>1224</v>
      </c>
      <c r="C879" s="55">
        <v>460</v>
      </c>
      <c r="D879" s="55">
        <v>207</v>
      </c>
      <c r="E879" s="28" t="s">
        <v>8</v>
      </c>
      <c r="F879" s="55"/>
      <c r="G879" s="29">
        <v>44652</v>
      </c>
      <c r="H879" s="30">
        <v>44926</v>
      </c>
    </row>
    <row r="880" spans="1:8" x14ac:dyDescent="0.2">
      <c r="A880" s="32">
        <v>920771</v>
      </c>
      <c r="B880" s="27" t="s">
        <v>1225</v>
      </c>
      <c r="C880" s="55">
        <v>480</v>
      </c>
      <c r="D880" s="55">
        <v>216</v>
      </c>
      <c r="E880" s="28" t="s">
        <v>8</v>
      </c>
      <c r="F880" s="55"/>
      <c r="G880" s="29">
        <v>44652</v>
      </c>
      <c r="H880" s="30">
        <v>44926</v>
      </c>
    </row>
    <row r="881" spans="1:8" x14ac:dyDescent="0.2">
      <c r="A881" s="32">
        <v>920776</v>
      </c>
      <c r="B881" s="27" t="s">
        <v>1110</v>
      </c>
      <c r="C881" s="55">
        <v>480</v>
      </c>
      <c r="D881" s="55">
        <v>216</v>
      </c>
      <c r="E881" s="28"/>
      <c r="F881" s="55"/>
      <c r="G881" s="29">
        <v>44652</v>
      </c>
      <c r="H881" s="30">
        <v>44926</v>
      </c>
    </row>
    <row r="882" spans="1:8" x14ac:dyDescent="0.2">
      <c r="A882" s="32">
        <v>920777</v>
      </c>
      <c r="B882" s="27" t="s">
        <v>1111</v>
      </c>
      <c r="C882" s="55">
        <v>480</v>
      </c>
      <c r="D882" s="55">
        <v>216</v>
      </c>
      <c r="E882" s="28"/>
      <c r="F882" s="55"/>
      <c r="G882" s="29">
        <v>44652</v>
      </c>
      <c r="H882" s="30">
        <v>44926</v>
      </c>
    </row>
    <row r="883" spans="1:8" x14ac:dyDescent="0.2">
      <c r="A883" s="32">
        <v>920783</v>
      </c>
      <c r="B883" s="27" t="s">
        <v>632</v>
      </c>
      <c r="C883" s="55">
        <v>192.5385</v>
      </c>
      <c r="D883" s="55">
        <v>86.642325</v>
      </c>
      <c r="E883" s="28" t="s">
        <v>8</v>
      </c>
      <c r="F883" s="55"/>
      <c r="G883" s="29">
        <v>44652</v>
      </c>
      <c r="H883" s="30">
        <v>44926</v>
      </c>
    </row>
    <row r="884" spans="1:8" x14ac:dyDescent="0.2">
      <c r="A884" s="32">
        <v>920784</v>
      </c>
      <c r="B884" s="27" t="s">
        <v>633</v>
      </c>
      <c r="C884" s="55">
        <v>213.33900000000003</v>
      </c>
      <c r="D884" s="55">
        <v>96.002550000000014</v>
      </c>
      <c r="E884" s="28" t="s">
        <v>8</v>
      </c>
      <c r="F884" s="55"/>
      <c r="G884" s="29">
        <v>44652</v>
      </c>
      <c r="H884" s="30">
        <v>44926</v>
      </c>
    </row>
    <row r="885" spans="1:8" x14ac:dyDescent="0.2">
      <c r="A885" s="32">
        <v>920785</v>
      </c>
      <c r="B885" s="27" t="s">
        <v>634</v>
      </c>
      <c r="C885" s="55">
        <v>213.33900000000003</v>
      </c>
      <c r="D885" s="55">
        <v>96.002550000000014</v>
      </c>
      <c r="E885" s="28" t="s">
        <v>8</v>
      </c>
      <c r="F885" s="55"/>
      <c r="G885" s="29">
        <v>44652</v>
      </c>
      <c r="H885" s="30">
        <v>44926</v>
      </c>
    </row>
    <row r="886" spans="1:8" x14ac:dyDescent="0.2">
      <c r="A886" s="32">
        <v>920786</v>
      </c>
      <c r="B886" s="27" t="s">
        <v>973</v>
      </c>
      <c r="C886" s="55">
        <v>869.14800000000002</v>
      </c>
      <c r="D886" s="55">
        <v>391.11660000000001</v>
      </c>
      <c r="E886" s="28" t="s">
        <v>8</v>
      </c>
      <c r="F886" s="55"/>
      <c r="G886" s="29">
        <v>44652</v>
      </c>
      <c r="H886" s="30">
        <v>44926</v>
      </c>
    </row>
    <row r="887" spans="1:8" x14ac:dyDescent="0.2">
      <c r="A887" s="32">
        <v>920787</v>
      </c>
      <c r="B887" s="27" t="s">
        <v>635</v>
      </c>
      <c r="C887" s="55">
        <v>7.85</v>
      </c>
      <c r="D887" s="55">
        <v>3.5324999999999998</v>
      </c>
      <c r="E887" s="28" t="s">
        <v>8</v>
      </c>
      <c r="F887" s="55"/>
      <c r="G887" s="29">
        <v>44652</v>
      </c>
      <c r="H887" s="30">
        <v>44926</v>
      </c>
    </row>
    <row r="888" spans="1:8" x14ac:dyDescent="0.2">
      <c r="A888" s="32">
        <v>920814</v>
      </c>
      <c r="B888" s="27" t="s">
        <v>1321</v>
      </c>
      <c r="C888" s="55">
        <v>33.526499999999999</v>
      </c>
      <c r="D888" s="55">
        <v>15.086924999999999</v>
      </c>
      <c r="E888" s="28" t="s">
        <v>8</v>
      </c>
      <c r="F888" s="55"/>
      <c r="G888" s="29">
        <v>44652</v>
      </c>
      <c r="H888" s="30">
        <v>44926</v>
      </c>
    </row>
    <row r="889" spans="1:8" x14ac:dyDescent="0.2">
      <c r="A889" s="32">
        <v>920815</v>
      </c>
      <c r="B889" s="27" t="s">
        <v>636</v>
      </c>
      <c r="C889" s="55">
        <v>26.25</v>
      </c>
      <c r="D889" s="55">
        <v>11.8125</v>
      </c>
      <c r="E889" s="28" t="s">
        <v>8</v>
      </c>
      <c r="F889" s="55"/>
      <c r="G889" s="29">
        <v>44652</v>
      </c>
      <c r="H889" s="30">
        <v>44926</v>
      </c>
    </row>
    <row r="890" spans="1:8" x14ac:dyDescent="0.2">
      <c r="A890" s="32">
        <v>920816</v>
      </c>
      <c r="B890" s="27" t="s">
        <v>637</v>
      </c>
      <c r="C890" s="55">
        <v>26.25</v>
      </c>
      <c r="D890" s="55">
        <v>11.8125</v>
      </c>
      <c r="E890" s="28" t="s">
        <v>8</v>
      </c>
      <c r="F890" s="55"/>
      <c r="G890" s="29">
        <v>44652</v>
      </c>
      <c r="H890" s="30">
        <v>44926</v>
      </c>
    </row>
    <row r="891" spans="1:8" x14ac:dyDescent="0.2">
      <c r="A891" s="32">
        <v>920817</v>
      </c>
      <c r="B891" s="27" t="s">
        <v>638</v>
      </c>
      <c r="C891" s="55">
        <v>26.25</v>
      </c>
      <c r="D891" s="55">
        <v>11.8125</v>
      </c>
      <c r="E891" s="28" t="s">
        <v>8</v>
      </c>
      <c r="F891" s="55"/>
      <c r="G891" s="29">
        <v>44652</v>
      </c>
      <c r="H891" s="30">
        <v>44926</v>
      </c>
    </row>
    <row r="892" spans="1:8" x14ac:dyDescent="0.2">
      <c r="A892" s="32">
        <v>920830</v>
      </c>
      <c r="B892" s="27" t="s">
        <v>639</v>
      </c>
      <c r="C892" s="55">
        <v>58.79</v>
      </c>
      <c r="D892" s="55">
        <v>26.455500000000001</v>
      </c>
      <c r="E892" s="28" t="s">
        <v>8</v>
      </c>
      <c r="F892" s="55"/>
      <c r="G892" s="29">
        <v>44652</v>
      </c>
      <c r="H892" s="30">
        <v>44926</v>
      </c>
    </row>
    <row r="893" spans="1:8" x14ac:dyDescent="0.2">
      <c r="A893" s="32">
        <v>920831</v>
      </c>
      <c r="B893" s="27" t="s">
        <v>640</v>
      </c>
      <c r="C893" s="55">
        <v>43.71</v>
      </c>
      <c r="D893" s="55">
        <v>19.669499999999999</v>
      </c>
      <c r="E893" s="28" t="s">
        <v>8</v>
      </c>
      <c r="F893" s="55"/>
      <c r="G893" s="29">
        <v>44652</v>
      </c>
      <c r="H893" s="30">
        <v>44926</v>
      </c>
    </row>
    <row r="894" spans="1:8" x14ac:dyDescent="0.2">
      <c r="A894" s="32">
        <v>920834</v>
      </c>
      <c r="B894" s="27" t="s">
        <v>1087</v>
      </c>
      <c r="C894" s="55">
        <v>37.422000000000004</v>
      </c>
      <c r="D894" s="55">
        <v>16.839900000000004</v>
      </c>
      <c r="E894" s="28" t="s">
        <v>8</v>
      </c>
      <c r="F894" s="55"/>
      <c r="G894" s="29">
        <v>44652</v>
      </c>
      <c r="H894" s="30">
        <v>44926</v>
      </c>
    </row>
    <row r="895" spans="1:8" x14ac:dyDescent="0.2">
      <c r="A895" s="32">
        <v>920835</v>
      </c>
      <c r="B895" s="27" t="s">
        <v>641</v>
      </c>
      <c r="C895" s="55">
        <v>37.422000000000004</v>
      </c>
      <c r="D895" s="55">
        <v>16.839900000000004</v>
      </c>
      <c r="E895" s="28" t="s">
        <v>8</v>
      </c>
      <c r="F895" s="55"/>
      <c r="G895" s="29">
        <v>44652</v>
      </c>
      <c r="H895" s="30">
        <v>44926</v>
      </c>
    </row>
    <row r="896" spans="1:8" x14ac:dyDescent="0.2">
      <c r="A896" s="32">
        <v>920836</v>
      </c>
      <c r="B896" s="27" t="s">
        <v>1086</v>
      </c>
      <c r="C896" s="55">
        <v>37.422000000000004</v>
      </c>
      <c r="D896" s="55">
        <v>16.839900000000004</v>
      </c>
      <c r="E896" s="28" t="s">
        <v>8</v>
      </c>
      <c r="F896" s="55"/>
      <c r="G896" s="29">
        <v>44652</v>
      </c>
      <c r="H896" s="30">
        <v>44926</v>
      </c>
    </row>
    <row r="897" spans="1:8" x14ac:dyDescent="0.2">
      <c r="A897" s="32">
        <v>920838</v>
      </c>
      <c r="B897" s="27" t="s">
        <v>1055</v>
      </c>
      <c r="C897" s="55">
        <v>64</v>
      </c>
      <c r="D897" s="55">
        <v>28.8</v>
      </c>
      <c r="E897" s="28" t="s">
        <v>8</v>
      </c>
      <c r="F897" s="55"/>
      <c r="G897" s="29">
        <v>44652</v>
      </c>
      <c r="H897" s="30">
        <v>44926</v>
      </c>
    </row>
    <row r="898" spans="1:8" x14ac:dyDescent="0.2">
      <c r="A898" s="32">
        <v>920839</v>
      </c>
      <c r="B898" s="27" t="s">
        <v>1056</v>
      </c>
      <c r="C898" s="55">
        <v>44.15</v>
      </c>
      <c r="D898" s="55">
        <v>19.8675</v>
      </c>
      <c r="E898" s="28" t="s">
        <v>8</v>
      </c>
      <c r="F898" s="55"/>
      <c r="G898" s="29">
        <v>44652</v>
      </c>
      <c r="H898" s="30">
        <v>44926</v>
      </c>
    </row>
    <row r="899" spans="1:8" x14ac:dyDescent="0.2">
      <c r="A899" s="32">
        <v>920856</v>
      </c>
      <c r="B899" s="27" t="s">
        <v>1108</v>
      </c>
      <c r="C899" s="55">
        <v>11.4</v>
      </c>
      <c r="D899" s="55">
        <v>5.13</v>
      </c>
      <c r="E899" s="28" t="s">
        <v>8</v>
      </c>
      <c r="F899" s="55"/>
      <c r="G899" s="29">
        <v>44652</v>
      </c>
      <c r="H899" s="30">
        <v>44926</v>
      </c>
    </row>
    <row r="900" spans="1:8" x14ac:dyDescent="0.2">
      <c r="A900" s="32">
        <v>920945</v>
      </c>
      <c r="B900" s="27" t="s">
        <v>642</v>
      </c>
      <c r="C900" s="55">
        <v>17.5</v>
      </c>
      <c r="D900" s="55">
        <v>7.875</v>
      </c>
      <c r="E900" s="28" t="s">
        <v>8</v>
      </c>
      <c r="F900" s="55"/>
      <c r="G900" s="29">
        <v>44652</v>
      </c>
      <c r="H900" s="30">
        <v>44926</v>
      </c>
    </row>
    <row r="901" spans="1:8" x14ac:dyDescent="0.2">
      <c r="A901" s="66">
        <v>920965</v>
      </c>
      <c r="B901" s="67" t="s">
        <v>643</v>
      </c>
      <c r="C901" s="68">
        <v>11</v>
      </c>
      <c r="D901" s="68">
        <v>4.95</v>
      </c>
      <c r="E901" s="69" t="s">
        <v>8</v>
      </c>
      <c r="F901" s="68"/>
      <c r="G901" s="70">
        <v>44652</v>
      </c>
      <c r="H901" s="71">
        <v>44926</v>
      </c>
    </row>
    <row r="902" spans="1:8" x14ac:dyDescent="0.2">
      <c r="A902" s="32">
        <v>920966</v>
      </c>
      <c r="B902" s="27" t="s">
        <v>1109</v>
      </c>
      <c r="C902" s="68">
        <v>11.9</v>
      </c>
      <c r="D902" s="68">
        <v>5.3550000000000004</v>
      </c>
      <c r="E902" s="69" t="s">
        <v>8</v>
      </c>
      <c r="F902" s="68"/>
      <c r="G902" s="70">
        <v>44652</v>
      </c>
      <c r="H902" s="71">
        <v>44926</v>
      </c>
    </row>
    <row r="903" spans="1:8" x14ac:dyDescent="0.2">
      <c r="A903" s="32">
        <v>920971</v>
      </c>
      <c r="B903" s="27" t="s">
        <v>1000</v>
      </c>
      <c r="C903" s="68">
        <v>41.83</v>
      </c>
      <c r="D903" s="68">
        <v>18.823499999999999</v>
      </c>
      <c r="E903" s="69" t="s">
        <v>8</v>
      </c>
      <c r="F903" s="68"/>
      <c r="G903" s="70">
        <v>44652</v>
      </c>
      <c r="H903" s="71">
        <v>44926</v>
      </c>
    </row>
    <row r="904" spans="1:8" x14ac:dyDescent="0.2">
      <c r="A904" s="32">
        <v>920972</v>
      </c>
      <c r="B904" s="27" t="s">
        <v>994</v>
      </c>
      <c r="C904" s="68">
        <v>182.994</v>
      </c>
      <c r="D904" s="68">
        <v>82.347300000000004</v>
      </c>
      <c r="E904" s="69" t="s">
        <v>8</v>
      </c>
      <c r="F904" s="68"/>
      <c r="G904" s="70">
        <v>44652</v>
      </c>
      <c r="H904" s="71">
        <v>44926</v>
      </c>
    </row>
    <row r="905" spans="1:8" x14ac:dyDescent="0.2">
      <c r="A905" s="32">
        <v>920973</v>
      </c>
      <c r="B905" s="27" t="s">
        <v>995</v>
      </c>
      <c r="C905" s="68">
        <v>323.21100000000001</v>
      </c>
      <c r="D905" s="68">
        <v>145.44495000000001</v>
      </c>
      <c r="E905" s="69" t="s">
        <v>8</v>
      </c>
      <c r="F905" s="68"/>
      <c r="G905" s="70">
        <v>44652</v>
      </c>
      <c r="H905" s="71">
        <v>44926</v>
      </c>
    </row>
    <row r="906" spans="1:8" x14ac:dyDescent="0.2">
      <c r="A906" s="32">
        <v>920976</v>
      </c>
      <c r="B906" s="27" t="s">
        <v>1231</v>
      </c>
      <c r="C906" s="68">
        <v>1305.1500000000001</v>
      </c>
      <c r="D906" s="68">
        <v>587.31750000000011</v>
      </c>
      <c r="E906" s="69" t="s">
        <v>8</v>
      </c>
      <c r="F906" s="68"/>
      <c r="G906" s="70">
        <v>44652</v>
      </c>
      <c r="H906" s="71">
        <v>44926</v>
      </c>
    </row>
    <row r="907" spans="1:8" x14ac:dyDescent="0.2">
      <c r="A907" s="32">
        <v>6.50207E+17</v>
      </c>
      <c r="B907" s="27" t="s">
        <v>1303</v>
      </c>
      <c r="C907" s="68">
        <v>59.346000000000004</v>
      </c>
      <c r="D907" s="68">
        <v>26.705700000000004</v>
      </c>
      <c r="E907" s="69" t="s">
        <v>8</v>
      </c>
      <c r="F907" s="68"/>
      <c r="G907" s="70">
        <v>44652</v>
      </c>
      <c r="H907" s="71">
        <v>44926</v>
      </c>
    </row>
    <row r="908" spans="1:8" x14ac:dyDescent="0.2">
      <c r="A908" s="32" t="s">
        <v>992</v>
      </c>
      <c r="B908" s="27" t="s">
        <v>993</v>
      </c>
      <c r="C908" s="68">
        <v>0.55000000000000004</v>
      </c>
      <c r="D908" s="68">
        <v>0.24750000000000003</v>
      </c>
      <c r="E908" s="69" t="s">
        <v>8</v>
      </c>
      <c r="F908" s="68"/>
      <c r="G908" s="70">
        <v>44652</v>
      </c>
      <c r="H908" s="71">
        <v>44926</v>
      </c>
    </row>
    <row r="909" spans="1:8" x14ac:dyDescent="0.2">
      <c r="A909" s="26" t="s">
        <v>644</v>
      </c>
      <c r="B909" s="27" t="s">
        <v>645</v>
      </c>
      <c r="C909" s="68">
        <v>12.85</v>
      </c>
      <c r="D909" s="68">
        <v>5.7824999999999998</v>
      </c>
      <c r="E909" s="69" t="s">
        <v>8</v>
      </c>
      <c r="F909" s="68"/>
      <c r="G909" s="70">
        <v>44652</v>
      </c>
      <c r="H909" s="71">
        <v>44926</v>
      </c>
    </row>
    <row r="910" spans="1:8" x14ac:dyDescent="0.2">
      <c r="A910" s="32" t="s">
        <v>1082</v>
      </c>
      <c r="B910" s="27" t="s">
        <v>1083</v>
      </c>
      <c r="C910" s="68">
        <v>20.5</v>
      </c>
      <c r="D910" s="68">
        <v>9.2249999999999996</v>
      </c>
      <c r="E910" s="69" t="s">
        <v>8</v>
      </c>
      <c r="F910" s="68"/>
      <c r="G910" s="70">
        <v>44652</v>
      </c>
      <c r="H910" s="71">
        <v>44926</v>
      </c>
    </row>
    <row r="911" spans="1:8" x14ac:dyDescent="0.2">
      <c r="A911" s="32" t="s">
        <v>646</v>
      </c>
      <c r="B911" s="27" t="s">
        <v>647</v>
      </c>
      <c r="C911" s="68">
        <v>0.98</v>
      </c>
      <c r="D911" s="68">
        <v>0.441</v>
      </c>
      <c r="E911" s="69" t="s">
        <v>8</v>
      </c>
      <c r="F911" s="68"/>
      <c r="G911" s="70">
        <v>44652</v>
      </c>
      <c r="H911" s="71">
        <v>44926</v>
      </c>
    </row>
    <row r="912" spans="1:8" x14ac:dyDescent="0.2">
      <c r="A912" s="32" t="s">
        <v>1278</v>
      </c>
      <c r="B912" s="27" t="s">
        <v>1279</v>
      </c>
      <c r="C912" s="68">
        <v>51</v>
      </c>
      <c r="D912" s="68">
        <v>22.95</v>
      </c>
      <c r="E912" s="69" t="s">
        <v>8</v>
      </c>
      <c r="F912" s="68"/>
      <c r="G912" s="70">
        <v>44652</v>
      </c>
      <c r="H912" s="71">
        <v>44926</v>
      </c>
    </row>
    <row r="913" spans="1:8" x14ac:dyDescent="0.2">
      <c r="A913" s="32" t="s">
        <v>1295</v>
      </c>
      <c r="B913" s="27" t="s">
        <v>1296</v>
      </c>
      <c r="C913" s="68">
        <v>82.225500000000011</v>
      </c>
      <c r="D913" s="68">
        <v>37.001475000000006</v>
      </c>
      <c r="E913" s="69" t="s">
        <v>8</v>
      </c>
      <c r="F913" s="68"/>
      <c r="G913" s="70">
        <v>44652</v>
      </c>
      <c r="H913" s="71">
        <v>44926</v>
      </c>
    </row>
    <row r="914" spans="1:8" x14ac:dyDescent="0.2">
      <c r="A914" s="32" t="s">
        <v>648</v>
      </c>
      <c r="B914" s="27" t="s">
        <v>649</v>
      </c>
      <c r="C914" s="68">
        <v>81.889499999999998</v>
      </c>
      <c r="D914" s="68">
        <v>36.850275000000003</v>
      </c>
      <c r="E914" s="69" t="s">
        <v>8</v>
      </c>
      <c r="F914" s="68"/>
      <c r="G914" s="70">
        <v>44652</v>
      </c>
      <c r="H914" s="71">
        <v>44926</v>
      </c>
    </row>
    <row r="915" spans="1:8" x14ac:dyDescent="0.2">
      <c r="A915" s="32" t="s">
        <v>650</v>
      </c>
      <c r="B915" s="27" t="s">
        <v>651</v>
      </c>
      <c r="C915" s="68">
        <v>76.188000000000002</v>
      </c>
      <c r="D915" s="68">
        <v>34.284600000000005</v>
      </c>
      <c r="E915" s="69" t="s">
        <v>8</v>
      </c>
      <c r="F915" s="68"/>
      <c r="G915" s="70">
        <v>44652</v>
      </c>
      <c r="H915" s="71">
        <v>44926</v>
      </c>
    </row>
    <row r="916" spans="1:8" x14ac:dyDescent="0.2">
      <c r="A916" s="32" t="s">
        <v>652</v>
      </c>
      <c r="B916" s="27" t="s">
        <v>653</v>
      </c>
      <c r="C916" s="68">
        <v>84</v>
      </c>
      <c r="D916" s="68">
        <v>37.800000000000004</v>
      </c>
      <c r="E916" s="69" t="s">
        <v>8</v>
      </c>
      <c r="F916" s="68"/>
      <c r="G916" s="70">
        <v>44652</v>
      </c>
      <c r="H916" s="71">
        <v>44926</v>
      </c>
    </row>
    <row r="917" spans="1:8" x14ac:dyDescent="0.2">
      <c r="A917" s="32" t="s">
        <v>654</v>
      </c>
      <c r="B917" s="27" t="s">
        <v>655</v>
      </c>
      <c r="C917" s="68">
        <v>26.953500000000002</v>
      </c>
      <c r="D917" s="68">
        <v>12.129075</v>
      </c>
      <c r="E917" s="69" t="s">
        <v>8</v>
      </c>
      <c r="F917" s="68"/>
      <c r="G917" s="70">
        <v>44652</v>
      </c>
      <c r="H917" s="71">
        <v>44926</v>
      </c>
    </row>
    <row r="918" spans="1:8" x14ac:dyDescent="0.2">
      <c r="A918" s="32" t="s">
        <v>656</v>
      </c>
      <c r="B918" s="27" t="s">
        <v>657</v>
      </c>
      <c r="C918" s="68">
        <v>78</v>
      </c>
      <c r="D918" s="68">
        <v>35.1</v>
      </c>
      <c r="E918" s="69" t="s">
        <v>8</v>
      </c>
      <c r="F918" s="68"/>
      <c r="G918" s="70">
        <v>44652</v>
      </c>
      <c r="H918" s="71">
        <v>44926</v>
      </c>
    </row>
    <row r="919" spans="1:8" x14ac:dyDescent="0.2">
      <c r="A919" s="32" t="s">
        <v>658</v>
      </c>
      <c r="B919" s="27" t="s">
        <v>659</v>
      </c>
      <c r="C919" s="68">
        <v>26.953500000000002</v>
      </c>
      <c r="D919" s="68">
        <v>12.129075</v>
      </c>
      <c r="E919" s="69" t="s">
        <v>8</v>
      </c>
      <c r="F919" s="68"/>
      <c r="G919" s="70">
        <v>44652</v>
      </c>
      <c r="H919" s="71">
        <v>44926</v>
      </c>
    </row>
    <row r="920" spans="1:8" x14ac:dyDescent="0.2">
      <c r="A920" s="32" t="s">
        <v>660</v>
      </c>
      <c r="B920" s="27" t="s">
        <v>661</v>
      </c>
      <c r="C920" s="68">
        <v>41.5</v>
      </c>
      <c r="D920" s="68">
        <v>18.675000000000001</v>
      </c>
      <c r="E920" s="69" t="s">
        <v>8</v>
      </c>
      <c r="F920" s="68"/>
      <c r="G920" s="70">
        <v>44652</v>
      </c>
      <c r="H920" s="71">
        <v>44926</v>
      </c>
    </row>
    <row r="921" spans="1:8" x14ac:dyDescent="0.2">
      <c r="A921" s="32" t="s">
        <v>662</v>
      </c>
      <c r="B921" s="27" t="s">
        <v>663</v>
      </c>
      <c r="C921" s="68">
        <v>60</v>
      </c>
      <c r="D921" s="68">
        <v>27</v>
      </c>
      <c r="E921" s="69" t="s">
        <v>8</v>
      </c>
      <c r="F921" s="68"/>
      <c r="G921" s="70">
        <v>44652</v>
      </c>
      <c r="H921" s="71">
        <v>44926</v>
      </c>
    </row>
    <row r="922" spans="1:8" x14ac:dyDescent="0.2">
      <c r="A922" s="32" t="s">
        <v>664</v>
      </c>
      <c r="B922" s="27" t="s">
        <v>665</v>
      </c>
      <c r="C922" s="68">
        <v>47.5</v>
      </c>
      <c r="D922" s="68">
        <v>21.375</v>
      </c>
      <c r="E922" s="69" t="s">
        <v>8</v>
      </c>
      <c r="F922" s="68"/>
      <c r="G922" s="70">
        <v>44652</v>
      </c>
      <c r="H922" s="71">
        <v>44926</v>
      </c>
    </row>
    <row r="923" spans="1:8" x14ac:dyDescent="0.2">
      <c r="A923" s="32" t="s">
        <v>1306</v>
      </c>
      <c r="B923" s="27" t="s">
        <v>1307</v>
      </c>
      <c r="C923" s="68">
        <v>43.847999999999999</v>
      </c>
      <c r="D923" s="68">
        <v>19.7316</v>
      </c>
      <c r="E923" s="69" t="s">
        <v>8</v>
      </c>
      <c r="F923" s="68"/>
      <c r="G923" s="70">
        <v>44652</v>
      </c>
      <c r="H923" s="71">
        <v>44926</v>
      </c>
    </row>
    <row r="924" spans="1:8" x14ac:dyDescent="0.2">
      <c r="A924" s="32" t="s">
        <v>1292</v>
      </c>
      <c r="B924" s="27" t="s">
        <v>1293</v>
      </c>
      <c r="C924" s="68">
        <v>89.785500000000013</v>
      </c>
      <c r="D924" s="68">
        <v>40.403475000000007</v>
      </c>
      <c r="E924" s="69" t="s">
        <v>8</v>
      </c>
      <c r="F924" s="68"/>
      <c r="G924" s="70">
        <v>44652</v>
      </c>
      <c r="H924" s="71">
        <v>44926</v>
      </c>
    </row>
    <row r="925" spans="1:8" x14ac:dyDescent="0.2">
      <c r="A925" s="32" t="s">
        <v>666</v>
      </c>
      <c r="B925" s="27" t="s">
        <v>667</v>
      </c>
      <c r="C925" s="68">
        <v>50.042999999999999</v>
      </c>
      <c r="D925" s="68">
        <v>22.519349999999999</v>
      </c>
      <c r="E925" s="69" t="s">
        <v>8</v>
      </c>
      <c r="F925" s="68"/>
      <c r="G925" s="70">
        <v>44652</v>
      </c>
      <c r="H925" s="71">
        <v>44926</v>
      </c>
    </row>
    <row r="926" spans="1:8" x14ac:dyDescent="0.2">
      <c r="A926" s="32" t="s">
        <v>668</v>
      </c>
      <c r="B926" s="27" t="s">
        <v>669</v>
      </c>
      <c r="C926" s="68">
        <v>52.899000000000008</v>
      </c>
      <c r="D926" s="68">
        <v>23.804550000000003</v>
      </c>
      <c r="E926" s="69" t="s">
        <v>8</v>
      </c>
      <c r="F926" s="68"/>
      <c r="G926" s="70">
        <v>44652</v>
      </c>
      <c r="H926" s="71">
        <v>44926</v>
      </c>
    </row>
    <row r="927" spans="1:8" x14ac:dyDescent="0.2">
      <c r="A927" s="32" t="s">
        <v>670</v>
      </c>
      <c r="B927" s="27" t="s">
        <v>671</v>
      </c>
      <c r="C927" s="68">
        <v>52.395000000000003</v>
      </c>
      <c r="D927" s="68">
        <v>23.577750000000002</v>
      </c>
      <c r="E927" s="69" t="s">
        <v>954</v>
      </c>
      <c r="F927" s="68">
        <v>21.927307500000001</v>
      </c>
      <c r="G927" s="70">
        <v>44652</v>
      </c>
      <c r="H927" s="71">
        <v>44926</v>
      </c>
    </row>
    <row r="928" spans="1:8" x14ac:dyDescent="0.2">
      <c r="A928" s="32" t="s">
        <v>672</v>
      </c>
      <c r="B928" s="27" t="s">
        <v>673</v>
      </c>
      <c r="C928" s="68">
        <v>52.846499999999999</v>
      </c>
      <c r="D928" s="68">
        <v>23.780925</v>
      </c>
      <c r="E928" s="69" t="s">
        <v>954</v>
      </c>
      <c r="F928" s="68">
        <v>22.11626025</v>
      </c>
      <c r="G928" s="70">
        <v>44652</v>
      </c>
      <c r="H928" s="71">
        <v>44926</v>
      </c>
    </row>
    <row r="929" spans="1:8" x14ac:dyDescent="0.2">
      <c r="A929" s="32" t="s">
        <v>674</v>
      </c>
      <c r="B929" s="27" t="s">
        <v>675</v>
      </c>
      <c r="C929" s="68">
        <v>54.264000000000003</v>
      </c>
      <c r="D929" s="68">
        <v>24.418800000000001</v>
      </c>
      <c r="E929" s="69" t="s">
        <v>954</v>
      </c>
      <c r="F929" s="68">
        <v>22.709484000000003</v>
      </c>
      <c r="G929" s="70">
        <v>44652</v>
      </c>
      <c r="H929" s="71">
        <v>44926</v>
      </c>
    </row>
    <row r="930" spans="1:8" x14ac:dyDescent="0.2">
      <c r="A930" s="32" t="s">
        <v>676</v>
      </c>
      <c r="B930" s="27" t="s">
        <v>677</v>
      </c>
      <c r="C930" s="68">
        <v>54.536999999999999</v>
      </c>
      <c r="D930" s="68">
        <v>24.541650000000001</v>
      </c>
      <c r="E930" s="69" t="s">
        <v>954</v>
      </c>
      <c r="F930" s="68">
        <v>22.8237345</v>
      </c>
      <c r="G930" s="70">
        <v>44652</v>
      </c>
      <c r="H930" s="71">
        <v>44926</v>
      </c>
    </row>
    <row r="931" spans="1:8" x14ac:dyDescent="0.2">
      <c r="A931" s="32" t="s">
        <v>678</v>
      </c>
      <c r="B931" s="27" t="s">
        <v>679</v>
      </c>
      <c r="C931" s="68">
        <v>57.046500000000002</v>
      </c>
      <c r="D931" s="68">
        <v>25.670925</v>
      </c>
      <c r="E931" s="69" t="s">
        <v>954</v>
      </c>
      <c r="F931" s="68">
        <v>23.873960250000003</v>
      </c>
      <c r="G931" s="70">
        <v>44652</v>
      </c>
      <c r="H931" s="71">
        <v>44926</v>
      </c>
    </row>
    <row r="932" spans="1:8" x14ac:dyDescent="0.2">
      <c r="A932" s="32" t="s">
        <v>680</v>
      </c>
      <c r="B932" s="27" t="s">
        <v>681</v>
      </c>
      <c r="C932" s="68">
        <v>60</v>
      </c>
      <c r="D932" s="68">
        <v>27</v>
      </c>
      <c r="E932" s="69" t="s">
        <v>8</v>
      </c>
      <c r="F932" s="68"/>
      <c r="G932" s="70">
        <v>44652</v>
      </c>
      <c r="H932" s="71">
        <v>44926</v>
      </c>
    </row>
    <row r="933" spans="1:8" x14ac:dyDescent="0.2">
      <c r="A933" s="32" t="s">
        <v>682</v>
      </c>
      <c r="B933" s="27" t="s">
        <v>683</v>
      </c>
      <c r="C933" s="68">
        <v>45.832500000000003</v>
      </c>
      <c r="D933" s="68">
        <v>20.624625000000002</v>
      </c>
      <c r="E933" s="69" t="s">
        <v>954</v>
      </c>
      <c r="F933" s="68">
        <v>19.180901250000002</v>
      </c>
      <c r="G933" s="70">
        <v>44652</v>
      </c>
      <c r="H933" s="71">
        <v>44926</v>
      </c>
    </row>
    <row r="934" spans="1:8" x14ac:dyDescent="0.2">
      <c r="A934" s="32" t="s">
        <v>684</v>
      </c>
      <c r="B934" s="27" t="s">
        <v>685</v>
      </c>
      <c r="C934" s="68">
        <v>50.610000000000007</v>
      </c>
      <c r="D934" s="68">
        <v>22.774500000000003</v>
      </c>
      <c r="E934" s="69" t="s">
        <v>8</v>
      </c>
      <c r="F934" s="68"/>
      <c r="G934" s="70">
        <v>44652</v>
      </c>
      <c r="H934" s="71">
        <v>44926</v>
      </c>
    </row>
    <row r="935" spans="1:8" x14ac:dyDescent="0.2">
      <c r="A935" s="32" t="s">
        <v>686</v>
      </c>
      <c r="B935" s="27" t="s">
        <v>687</v>
      </c>
      <c r="C935" s="68">
        <v>45.5</v>
      </c>
      <c r="D935" s="68">
        <v>20.475000000000001</v>
      </c>
      <c r="E935" s="69" t="s">
        <v>8</v>
      </c>
      <c r="F935" s="68"/>
      <c r="G935" s="70">
        <v>44652</v>
      </c>
      <c r="H935" s="71">
        <v>44926</v>
      </c>
    </row>
    <row r="936" spans="1:8" x14ac:dyDescent="0.2">
      <c r="A936" s="32" t="s">
        <v>688</v>
      </c>
      <c r="B936" s="27" t="s">
        <v>689</v>
      </c>
      <c r="C936" s="68">
        <v>58.128</v>
      </c>
      <c r="D936" s="68">
        <v>26.157600000000002</v>
      </c>
      <c r="E936" s="69" t="s">
        <v>8</v>
      </c>
      <c r="F936" s="68"/>
      <c r="G936" s="70">
        <v>44652</v>
      </c>
      <c r="H936" s="71">
        <v>44926</v>
      </c>
    </row>
    <row r="937" spans="1:8" x14ac:dyDescent="0.2">
      <c r="A937" s="32" t="s">
        <v>690</v>
      </c>
      <c r="B937" s="27" t="s">
        <v>691</v>
      </c>
      <c r="C937" s="68">
        <v>33.369</v>
      </c>
      <c r="D937" s="68">
        <v>15.01605</v>
      </c>
      <c r="E937" s="69" t="s">
        <v>954</v>
      </c>
      <c r="F937" s="68">
        <v>13.964926500000001</v>
      </c>
      <c r="G937" s="70">
        <v>44652</v>
      </c>
      <c r="H937" s="71">
        <v>44926</v>
      </c>
    </row>
    <row r="938" spans="1:8" x14ac:dyDescent="0.2">
      <c r="A938" s="32" t="s">
        <v>692</v>
      </c>
      <c r="B938" s="27" t="s">
        <v>693</v>
      </c>
      <c r="C938" s="68">
        <v>89</v>
      </c>
      <c r="D938" s="68">
        <v>40.050000000000004</v>
      </c>
      <c r="E938" s="69" t="s">
        <v>954</v>
      </c>
      <c r="F938" s="68">
        <v>37.246500000000005</v>
      </c>
      <c r="G938" s="70">
        <v>44652</v>
      </c>
      <c r="H938" s="71">
        <v>44926</v>
      </c>
    </row>
    <row r="939" spans="1:8" x14ac:dyDescent="0.2">
      <c r="A939" s="32" t="s">
        <v>694</v>
      </c>
      <c r="B939" s="27" t="s">
        <v>695</v>
      </c>
      <c r="C939" s="68">
        <v>52.164000000000001</v>
      </c>
      <c r="D939" s="68">
        <v>23.473800000000001</v>
      </c>
      <c r="E939" s="69" t="s">
        <v>954</v>
      </c>
      <c r="F939" s="68">
        <v>21.830634000000003</v>
      </c>
      <c r="G939" s="70">
        <v>44652</v>
      </c>
      <c r="H939" s="71">
        <v>44926</v>
      </c>
    </row>
    <row r="940" spans="1:8" x14ac:dyDescent="0.2">
      <c r="A940" s="32" t="s">
        <v>696</v>
      </c>
      <c r="B940" s="27" t="s">
        <v>697</v>
      </c>
      <c r="C940" s="68">
        <v>42</v>
      </c>
      <c r="D940" s="68">
        <v>18.900000000000002</v>
      </c>
      <c r="E940" s="69" t="s">
        <v>8</v>
      </c>
      <c r="F940" s="68"/>
      <c r="G940" s="70">
        <v>44652</v>
      </c>
      <c r="H940" s="71">
        <v>44926</v>
      </c>
    </row>
    <row r="941" spans="1:8" x14ac:dyDescent="0.2">
      <c r="A941" s="32" t="s">
        <v>1039</v>
      </c>
      <c r="B941" s="27" t="s">
        <v>1040</v>
      </c>
      <c r="C941" s="68">
        <v>32.361000000000004</v>
      </c>
      <c r="D941" s="68">
        <v>14.562450000000002</v>
      </c>
      <c r="E941" s="69" t="s">
        <v>8</v>
      </c>
      <c r="F941" s="68"/>
      <c r="G941" s="70">
        <v>44652</v>
      </c>
      <c r="H941" s="71">
        <v>44926</v>
      </c>
    </row>
    <row r="942" spans="1:8" x14ac:dyDescent="0.2">
      <c r="A942" s="32" t="s">
        <v>698</v>
      </c>
      <c r="B942" s="27" t="s">
        <v>699</v>
      </c>
      <c r="C942" s="68">
        <v>74</v>
      </c>
      <c r="D942" s="68">
        <v>33.300000000000004</v>
      </c>
      <c r="E942" s="69" t="s">
        <v>8</v>
      </c>
      <c r="F942" s="68"/>
      <c r="G942" s="70">
        <v>44652</v>
      </c>
      <c r="H942" s="71">
        <v>44926</v>
      </c>
    </row>
    <row r="943" spans="1:8" x14ac:dyDescent="0.2">
      <c r="A943" s="32" t="s">
        <v>700</v>
      </c>
      <c r="B943" s="27" t="s">
        <v>540</v>
      </c>
      <c r="C943" s="68">
        <v>316.76400000000001</v>
      </c>
      <c r="D943" s="68">
        <v>142.5438</v>
      </c>
      <c r="E943" s="69" t="s">
        <v>8</v>
      </c>
      <c r="F943" s="68"/>
      <c r="G943" s="70">
        <v>44652</v>
      </c>
      <c r="H943" s="71">
        <v>44926</v>
      </c>
    </row>
    <row r="944" spans="1:8" x14ac:dyDescent="0.2">
      <c r="A944" s="32" t="s">
        <v>701</v>
      </c>
      <c r="B944" s="27" t="s">
        <v>541</v>
      </c>
      <c r="C944" s="68">
        <v>316.76400000000001</v>
      </c>
      <c r="D944" s="68">
        <v>142.5438</v>
      </c>
      <c r="E944" s="69" t="s">
        <v>8</v>
      </c>
      <c r="F944" s="68"/>
      <c r="G944" s="70">
        <v>44652</v>
      </c>
      <c r="H944" s="71">
        <v>44926</v>
      </c>
    </row>
    <row r="945" spans="1:8" x14ac:dyDescent="0.2">
      <c r="A945" s="32" t="s">
        <v>1210</v>
      </c>
      <c r="B945" s="27" t="s">
        <v>1211</v>
      </c>
      <c r="C945" s="68">
        <v>480</v>
      </c>
      <c r="D945" s="68">
        <v>216</v>
      </c>
      <c r="E945" s="69" t="s">
        <v>8</v>
      </c>
      <c r="F945" s="68"/>
      <c r="G945" s="70">
        <v>44652</v>
      </c>
      <c r="H945" s="71">
        <v>44926</v>
      </c>
    </row>
    <row r="946" spans="1:8" x14ac:dyDescent="0.2">
      <c r="A946" s="32" t="s">
        <v>1212</v>
      </c>
      <c r="B946" s="27" t="s">
        <v>1213</v>
      </c>
      <c r="C946" s="68">
        <v>480</v>
      </c>
      <c r="D946" s="68">
        <v>216</v>
      </c>
      <c r="E946" s="69" t="s">
        <v>8</v>
      </c>
      <c r="F946" s="68"/>
      <c r="G946" s="70">
        <v>44652</v>
      </c>
      <c r="H946" s="71">
        <v>44926</v>
      </c>
    </row>
    <row r="947" spans="1:8" x14ac:dyDescent="0.2">
      <c r="A947" s="32" t="s">
        <v>702</v>
      </c>
      <c r="B947" s="27" t="s">
        <v>703</v>
      </c>
      <c r="C947" s="68">
        <v>4.74</v>
      </c>
      <c r="D947" s="68">
        <v>2.133</v>
      </c>
      <c r="E947" s="69" t="s">
        <v>954</v>
      </c>
      <c r="F947" s="68">
        <v>1.9836900000000002</v>
      </c>
      <c r="G947" s="70">
        <v>44652</v>
      </c>
      <c r="H947" s="71">
        <v>44926</v>
      </c>
    </row>
    <row r="948" spans="1:8" x14ac:dyDescent="0.2">
      <c r="A948" s="32" t="s">
        <v>704</v>
      </c>
      <c r="B948" s="27" t="s">
        <v>705</v>
      </c>
      <c r="C948" s="68">
        <v>2.121</v>
      </c>
      <c r="D948" s="68">
        <v>0.95445000000000002</v>
      </c>
      <c r="E948" s="69" t="s">
        <v>954</v>
      </c>
      <c r="F948" s="68">
        <v>0.88763850000000011</v>
      </c>
      <c r="G948" s="70">
        <v>44652</v>
      </c>
      <c r="H948" s="71">
        <v>44926</v>
      </c>
    </row>
    <row r="949" spans="1:8" x14ac:dyDescent="0.2">
      <c r="A949" s="32" t="s">
        <v>706</v>
      </c>
      <c r="B949" s="27" t="s">
        <v>707</v>
      </c>
      <c r="C949" s="68">
        <v>44.005499999999998</v>
      </c>
      <c r="D949" s="68">
        <v>19.802475000000001</v>
      </c>
      <c r="E949" s="69" t="s">
        <v>8</v>
      </c>
      <c r="F949" s="68"/>
      <c r="G949" s="70">
        <v>44652</v>
      </c>
      <c r="H949" s="71">
        <v>44926</v>
      </c>
    </row>
    <row r="950" spans="1:8" x14ac:dyDescent="0.2">
      <c r="A950" s="32" t="s">
        <v>708</v>
      </c>
      <c r="B950" s="27" t="s">
        <v>709</v>
      </c>
      <c r="C950" s="68">
        <v>9.7200000000000006</v>
      </c>
      <c r="D950" s="68">
        <v>4.3740000000000006</v>
      </c>
      <c r="E950" s="69" t="s">
        <v>954</v>
      </c>
      <c r="F950" s="68">
        <v>4.0678200000000011</v>
      </c>
      <c r="G950" s="70">
        <v>44652</v>
      </c>
      <c r="H950" s="71">
        <v>44926</v>
      </c>
    </row>
    <row r="951" spans="1:8" x14ac:dyDescent="0.2">
      <c r="A951" s="32" t="s">
        <v>710</v>
      </c>
      <c r="B951" s="27" t="s">
        <v>711</v>
      </c>
      <c r="C951" s="68">
        <v>121.86300000000001</v>
      </c>
      <c r="D951" s="68">
        <v>54.838350000000005</v>
      </c>
      <c r="E951" s="69" t="s">
        <v>8</v>
      </c>
      <c r="F951" s="68"/>
      <c r="G951" s="70">
        <v>44652</v>
      </c>
      <c r="H951" s="71">
        <v>44926</v>
      </c>
    </row>
    <row r="952" spans="1:8" x14ac:dyDescent="0.2">
      <c r="A952" s="32" t="s">
        <v>712</v>
      </c>
      <c r="B952" s="27" t="s">
        <v>713</v>
      </c>
      <c r="C952" s="68">
        <v>3.7275</v>
      </c>
      <c r="D952" s="68">
        <v>1.6773750000000001</v>
      </c>
      <c r="E952" s="69" t="s">
        <v>954</v>
      </c>
      <c r="F952" s="68">
        <v>1.5599587500000001</v>
      </c>
      <c r="G952" s="70">
        <v>44652</v>
      </c>
      <c r="H952" s="71">
        <v>44926</v>
      </c>
    </row>
    <row r="953" spans="1:8" x14ac:dyDescent="0.2">
      <c r="A953" s="32" t="s">
        <v>714</v>
      </c>
      <c r="B953" s="27" t="s">
        <v>715</v>
      </c>
      <c r="C953" s="68">
        <v>27</v>
      </c>
      <c r="D953" s="68">
        <v>12.15</v>
      </c>
      <c r="E953" s="69" t="s">
        <v>8</v>
      </c>
      <c r="F953" s="68"/>
      <c r="G953" s="70">
        <v>44652</v>
      </c>
      <c r="H953" s="71">
        <v>44926</v>
      </c>
    </row>
    <row r="954" spans="1:8" x14ac:dyDescent="0.2">
      <c r="A954" s="32" t="s">
        <v>716</v>
      </c>
      <c r="B954" s="27" t="s">
        <v>717</v>
      </c>
      <c r="C954" s="68">
        <v>446.5</v>
      </c>
      <c r="D954" s="68">
        <v>200.92500000000001</v>
      </c>
      <c r="E954" s="69" t="s">
        <v>8</v>
      </c>
      <c r="F954" s="68"/>
      <c r="G954" s="70">
        <v>44652</v>
      </c>
      <c r="H954" s="71">
        <v>44926</v>
      </c>
    </row>
    <row r="955" spans="1:8" x14ac:dyDescent="0.2">
      <c r="A955" s="32" t="s">
        <v>718</v>
      </c>
      <c r="B955" s="27" t="s">
        <v>717</v>
      </c>
      <c r="C955" s="68">
        <v>446.5</v>
      </c>
      <c r="D955" s="68">
        <v>200.92500000000001</v>
      </c>
      <c r="E955" s="69" t="s">
        <v>8</v>
      </c>
      <c r="F955" s="68"/>
      <c r="G955" s="70">
        <v>44652</v>
      </c>
      <c r="H955" s="71">
        <v>44926</v>
      </c>
    </row>
    <row r="956" spans="1:8" x14ac:dyDescent="0.2">
      <c r="A956" s="32" t="s">
        <v>1207</v>
      </c>
      <c r="B956" s="27" t="s">
        <v>1208</v>
      </c>
      <c r="C956" s="68">
        <v>326.83999999999997</v>
      </c>
      <c r="D956" s="68">
        <v>147.078</v>
      </c>
      <c r="E956" s="69" t="s">
        <v>8</v>
      </c>
      <c r="F956" s="68"/>
      <c r="G956" s="70">
        <v>44652</v>
      </c>
      <c r="H956" s="71">
        <v>44926</v>
      </c>
    </row>
    <row r="957" spans="1:8" x14ac:dyDescent="0.2">
      <c r="A957" s="32" t="s">
        <v>1251</v>
      </c>
      <c r="B957" s="27" t="s">
        <v>722</v>
      </c>
      <c r="C957" s="68">
        <v>350</v>
      </c>
      <c r="D957" s="68">
        <v>157.5</v>
      </c>
      <c r="E957" s="69" t="s">
        <v>8</v>
      </c>
      <c r="F957" s="68"/>
      <c r="G957" s="70">
        <v>44652</v>
      </c>
      <c r="H957" s="71">
        <v>44926</v>
      </c>
    </row>
    <row r="958" spans="1:8" x14ac:dyDescent="0.2">
      <c r="A958" s="32" t="s">
        <v>1252</v>
      </c>
      <c r="B958" s="27" t="s">
        <v>752</v>
      </c>
      <c r="C958" s="68">
        <v>392</v>
      </c>
      <c r="D958" s="68">
        <v>176.4</v>
      </c>
      <c r="E958" s="69" t="s">
        <v>8</v>
      </c>
      <c r="F958" s="68"/>
      <c r="G958" s="70">
        <v>44652</v>
      </c>
      <c r="H958" s="71">
        <v>44926</v>
      </c>
    </row>
    <row r="959" spans="1:8" x14ac:dyDescent="0.2">
      <c r="A959" s="32" t="s">
        <v>1092</v>
      </c>
      <c r="B959" s="27" t="s">
        <v>740</v>
      </c>
      <c r="C959" s="68">
        <v>207</v>
      </c>
      <c r="D959" s="68">
        <v>93.15</v>
      </c>
      <c r="E959" s="69" t="s">
        <v>8</v>
      </c>
      <c r="F959" s="68"/>
      <c r="G959" s="70">
        <v>44652</v>
      </c>
      <c r="H959" s="71">
        <v>44926</v>
      </c>
    </row>
    <row r="960" spans="1:8" x14ac:dyDescent="0.2">
      <c r="A960" s="32" t="s">
        <v>719</v>
      </c>
      <c r="B960" s="27" t="s">
        <v>720</v>
      </c>
      <c r="C960" s="68">
        <v>338.24700000000001</v>
      </c>
      <c r="D960" s="68">
        <v>152.21115</v>
      </c>
      <c r="E960" s="69" t="s">
        <v>954</v>
      </c>
      <c r="F960" s="68">
        <v>141.55636950000002</v>
      </c>
      <c r="G960" s="70">
        <v>44652</v>
      </c>
      <c r="H960" s="71">
        <v>44926</v>
      </c>
    </row>
    <row r="961" spans="1:8" x14ac:dyDescent="0.2">
      <c r="A961" s="32" t="s">
        <v>721</v>
      </c>
      <c r="B961" s="27" t="s">
        <v>722</v>
      </c>
      <c r="C961" s="68">
        <v>352.19100000000003</v>
      </c>
      <c r="D961" s="68">
        <v>158.48595000000003</v>
      </c>
      <c r="E961" s="69" t="s">
        <v>954</v>
      </c>
      <c r="F961" s="68">
        <v>147.39193350000005</v>
      </c>
      <c r="G961" s="70">
        <v>44652</v>
      </c>
      <c r="H961" s="71">
        <v>44926</v>
      </c>
    </row>
    <row r="962" spans="1:8" x14ac:dyDescent="0.2">
      <c r="A962" s="32" t="s">
        <v>723</v>
      </c>
      <c r="B962" s="27" t="s">
        <v>724</v>
      </c>
      <c r="C962" s="68">
        <v>362.86950000000002</v>
      </c>
      <c r="D962" s="68">
        <v>163.29127500000001</v>
      </c>
      <c r="E962" s="69" t="s">
        <v>954</v>
      </c>
      <c r="F962" s="68">
        <v>151.86088575000002</v>
      </c>
      <c r="G962" s="70">
        <v>44652</v>
      </c>
      <c r="H962" s="71">
        <v>44926</v>
      </c>
    </row>
    <row r="963" spans="1:8" x14ac:dyDescent="0.2">
      <c r="A963" s="32" t="s">
        <v>725</v>
      </c>
      <c r="B963" s="27" t="s">
        <v>726</v>
      </c>
      <c r="C963" s="68">
        <v>371.91</v>
      </c>
      <c r="D963" s="68">
        <v>167.35950000000003</v>
      </c>
      <c r="E963" s="69" t="s">
        <v>954</v>
      </c>
      <c r="F963" s="68">
        <v>155.64433500000004</v>
      </c>
      <c r="G963" s="70">
        <v>44652</v>
      </c>
      <c r="H963" s="71">
        <v>44926</v>
      </c>
    </row>
    <row r="964" spans="1:8" x14ac:dyDescent="0.2">
      <c r="A964" s="32" t="s">
        <v>727</v>
      </c>
      <c r="B964" s="27" t="s">
        <v>728</v>
      </c>
      <c r="C964" s="68">
        <v>385.62299999999999</v>
      </c>
      <c r="D964" s="68">
        <v>173.53035</v>
      </c>
      <c r="E964" s="69" t="s">
        <v>954</v>
      </c>
      <c r="F964" s="68">
        <v>161.38322550000001</v>
      </c>
      <c r="G964" s="70">
        <v>44652</v>
      </c>
      <c r="H964" s="71">
        <v>44926</v>
      </c>
    </row>
    <row r="965" spans="1:8" x14ac:dyDescent="0.2">
      <c r="A965" s="32" t="s">
        <v>1258</v>
      </c>
      <c r="B965" s="27" t="s">
        <v>752</v>
      </c>
      <c r="C965" s="68">
        <v>385.63349999999997</v>
      </c>
      <c r="D965" s="68">
        <v>173.53507499999998</v>
      </c>
      <c r="E965" s="69" t="s">
        <v>954</v>
      </c>
      <c r="F965" s="68">
        <v>161.38761975</v>
      </c>
      <c r="G965" s="70">
        <v>44652</v>
      </c>
      <c r="H965" s="71">
        <v>44926</v>
      </c>
    </row>
    <row r="966" spans="1:8" x14ac:dyDescent="0.2">
      <c r="A966" s="32" t="s">
        <v>729</v>
      </c>
      <c r="B966" s="27" t="s">
        <v>730</v>
      </c>
      <c r="C966" s="68">
        <v>140.95200000000003</v>
      </c>
      <c r="D966" s="68">
        <v>63.428400000000011</v>
      </c>
      <c r="E966" s="69" t="s">
        <v>954</v>
      </c>
      <c r="F966" s="68">
        <v>58.988412000000011</v>
      </c>
      <c r="G966" s="70">
        <v>44652</v>
      </c>
      <c r="H966" s="71">
        <v>44926</v>
      </c>
    </row>
    <row r="967" spans="1:8" x14ac:dyDescent="0.2">
      <c r="A967" s="32" t="s">
        <v>731</v>
      </c>
      <c r="B967" s="27" t="s">
        <v>732</v>
      </c>
      <c r="C967" s="68">
        <v>155.13750000000002</v>
      </c>
      <c r="D967" s="68">
        <v>69.811875000000015</v>
      </c>
      <c r="E967" s="69" t="s">
        <v>954</v>
      </c>
      <c r="F967" s="68">
        <v>64.925043750000015</v>
      </c>
      <c r="G967" s="70">
        <v>44652</v>
      </c>
      <c r="H967" s="71">
        <v>44926</v>
      </c>
    </row>
    <row r="968" spans="1:8" x14ac:dyDescent="0.2">
      <c r="A968" s="32" t="s">
        <v>733</v>
      </c>
      <c r="B968" s="27" t="s">
        <v>734</v>
      </c>
      <c r="C968" s="68">
        <v>154</v>
      </c>
      <c r="D968" s="68">
        <v>69.3</v>
      </c>
      <c r="E968" s="69" t="s">
        <v>954</v>
      </c>
      <c r="F968" s="68">
        <v>64.448999999999998</v>
      </c>
      <c r="G968" s="70">
        <v>44652</v>
      </c>
      <c r="H968" s="71">
        <v>44926</v>
      </c>
    </row>
    <row r="969" spans="1:8" x14ac:dyDescent="0.2">
      <c r="A969" s="32" t="s">
        <v>735</v>
      </c>
      <c r="B969" s="27" t="s">
        <v>736</v>
      </c>
      <c r="C969" s="68">
        <v>165.83700000000002</v>
      </c>
      <c r="D969" s="68">
        <v>74.626650000000012</v>
      </c>
      <c r="E969" s="69" t="s">
        <v>954</v>
      </c>
      <c r="F969" s="68">
        <v>69.40278450000001</v>
      </c>
      <c r="G969" s="70">
        <v>44652</v>
      </c>
      <c r="H969" s="71">
        <v>44926</v>
      </c>
    </row>
    <row r="970" spans="1:8" x14ac:dyDescent="0.2">
      <c r="A970" s="32" t="s">
        <v>737</v>
      </c>
      <c r="B970" s="27" t="s">
        <v>738</v>
      </c>
      <c r="C970" s="68">
        <v>150</v>
      </c>
      <c r="D970" s="68">
        <v>67.5</v>
      </c>
      <c r="E970" s="69" t="s">
        <v>954</v>
      </c>
      <c r="F970" s="68">
        <v>62.775000000000006</v>
      </c>
      <c r="G970" s="70">
        <v>44652</v>
      </c>
      <c r="H970" s="71">
        <v>44926</v>
      </c>
    </row>
    <row r="971" spans="1:8" x14ac:dyDescent="0.2">
      <c r="A971" s="32" t="s">
        <v>1101</v>
      </c>
      <c r="B971" s="27" t="s">
        <v>1102</v>
      </c>
      <c r="C971" s="68">
        <v>167</v>
      </c>
      <c r="D971" s="68">
        <v>75.150000000000006</v>
      </c>
      <c r="E971" s="69" t="s">
        <v>954</v>
      </c>
      <c r="F971" s="68">
        <v>69.889500000000012</v>
      </c>
      <c r="G971" s="70">
        <v>44652</v>
      </c>
      <c r="H971" s="71">
        <v>44926</v>
      </c>
    </row>
    <row r="972" spans="1:8" x14ac:dyDescent="0.2">
      <c r="A972" s="32" t="s">
        <v>739</v>
      </c>
      <c r="B972" s="27" t="s">
        <v>740</v>
      </c>
      <c r="C972" s="68">
        <v>160</v>
      </c>
      <c r="D972" s="68">
        <v>72</v>
      </c>
      <c r="E972" s="69" t="s">
        <v>954</v>
      </c>
      <c r="F972" s="68">
        <v>66.960000000000008</v>
      </c>
      <c r="G972" s="70">
        <v>44652</v>
      </c>
      <c r="H972" s="71">
        <v>44926</v>
      </c>
    </row>
    <row r="973" spans="1:8" x14ac:dyDescent="0.2">
      <c r="A973" s="32" t="s">
        <v>741</v>
      </c>
      <c r="B973" s="27" t="s">
        <v>742</v>
      </c>
      <c r="C973" s="68">
        <v>178.25</v>
      </c>
      <c r="D973" s="68">
        <v>80.212500000000006</v>
      </c>
      <c r="E973" s="69" t="s">
        <v>954</v>
      </c>
      <c r="F973" s="68">
        <v>74.597625000000008</v>
      </c>
      <c r="G973" s="70">
        <v>44652</v>
      </c>
      <c r="H973" s="71">
        <v>44926</v>
      </c>
    </row>
    <row r="974" spans="1:8" x14ac:dyDescent="0.2">
      <c r="A974" s="32" t="s">
        <v>1098</v>
      </c>
      <c r="B974" s="27" t="s">
        <v>1099</v>
      </c>
      <c r="C974" s="68">
        <v>167</v>
      </c>
      <c r="D974" s="68">
        <v>75.150000000000006</v>
      </c>
      <c r="E974" s="69" t="s">
        <v>8</v>
      </c>
      <c r="F974" s="68"/>
      <c r="G974" s="70">
        <v>44652</v>
      </c>
      <c r="H974" s="71">
        <v>44926</v>
      </c>
    </row>
    <row r="975" spans="1:8" x14ac:dyDescent="0.2">
      <c r="A975" s="32" t="s">
        <v>743</v>
      </c>
      <c r="B975" s="27" t="s">
        <v>744</v>
      </c>
      <c r="C975" s="68">
        <v>157</v>
      </c>
      <c r="D975" s="68">
        <v>70.650000000000006</v>
      </c>
      <c r="E975" s="69" t="s">
        <v>8</v>
      </c>
      <c r="F975" s="68"/>
      <c r="G975" s="70">
        <v>44652</v>
      </c>
      <c r="H975" s="71">
        <v>44926</v>
      </c>
    </row>
    <row r="976" spans="1:8" x14ac:dyDescent="0.2">
      <c r="A976" s="32" t="s">
        <v>745</v>
      </c>
      <c r="B976" s="27" t="s">
        <v>720</v>
      </c>
      <c r="C976" s="68">
        <v>340.24200000000002</v>
      </c>
      <c r="D976" s="68">
        <v>153.10890000000001</v>
      </c>
      <c r="E976" s="69" t="s">
        <v>954</v>
      </c>
      <c r="F976" s="68">
        <v>142.391277</v>
      </c>
      <c r="G976" s="70">
        <v>44652</v>
      </c>
      <c r="H976" s="71">
        <v>44926</v>
      </c>
    </row>
    <row r="977" spans="1:8" x14ac:dyDescent="0.2">
      <c r="A977" s="32" t="s">
        <v>746</v>
      </c>
      <c r="B977" s="27" t="s">
        <v>722</v>
      </c>
      <c r="C977" s="68">
        <v>359.64600000000002</v>
      </c>
      <c r="D977" s="68">
        <v>161.8407</v>
      </c>
      <c r="E977" s="69" t="s">
        <v>954</v>
      </c>
      <c r="F977" s="68">
        <v>150.51185100000001</v>
      </c>
      <c r="G977" s="70">
        <v>44652</v>
      </c>
      <c r="H977" s="71">
        <v>44926</v>
      </c>
    </row>
    <row r="978" spans="1:8" x14ac:dyDescent="0.2">
      <c r="A978" s="32" t="s">
        <v>747</v>
      </c>
      <c r="B978" s="27" t="s">
        <v>726</v>
      </c>
      <c r="C978" s="68">
        <v>373.6635</v>
      </c>
      <c r="D978" s="68">
        <v>168.14857499999999</v>
      </c>
      <c r="E978" s="69" t="s">
        <v>954</v>
      </c>
      <c r="F978" s="68">
        <v>156.37817475</v>
      </c>
      <c r="G978" s="70">
        <v>44652</v>
      </c>
      <c r="H978" s="71">
        <v>44926</v>
      </c>
    </row>
    <row r="979" spans="1:8" x14ac:dyDescent="0.2">
      <c r="A979" s="32" t="s">
        <v>748</v>
      </c>
      <c r="B979" s="27" t="s">
        <v>728</v>
      </c>
      <c r="C979" s="68">
        <v>388.40550000000002</v>
      </c>
      <c r="D979" s="68">
        <v>174.78247500000001</v>
      </c>
      <c r="E979" s="69" t="s">
        <v>954</v>
      </c>
      <c r="F979" s="68">
        <v>162.54770175000002</v>
      </c>
      <c r="G979" s="70">
        <v>44652</v>
      </c>
      <c r="H979" s="71">
        <v>44926</v>
      </c>
    </row>
    <row r="980" spans="1:8" x14ac:dyDescent="0.2">
      <c r="A980" s="32" t="s">
        <v>749</v>
      </c>
      <c r="B980" s="27" t="s">
        <v>750</v>
      </c>
      <c r="C980" s="68">
        <v>373.6635</v>
      </c>
      <c r="D980" s="68">
        <v>168.14857499999999</v>
      </c>
      <c r="E980" s="69" t="s">
        <v>954</v>
      </c>
      <c r="F980" s="68">
        <v>156.37817475</v>
      </c>
      <c r="G980" s="70">
        <v>44652</v>
      </c>
      <c r="H980" s="71">
        <v>44926</v>
      </c>
    </row>
    <row r="981" spans="1:8" x14ac:dyDescent="0.2">
      <c r="A981" s="32" t="s">
        <v>751</v>
      </c>
      <c r="B981" s="27" t="s">
        <v>752</v>
      </c>
      <c r="C981" s="68">
        <v>388.40550000000002</v>
      </c>
      <c r="D981" s="68">
        <v>174.78247500000001</v>
      </c>
      <c r="E981" s="69" t="s">
        <v>954</v>
      </c>
      <c r="F981" s="68">
        <v>162.54770175000002</v>
      </c>
      <c r="G981" s="70">
        <v>44652</v>
      </c>
      <c r="H981" s="71">
        <v>44926</v>
      </c>
    </row>
    <row r="982" spans="1:8" x14ac:dyDescent="0.2">
      <c r="A982" s="32" t="s">
        <v>753</v>
      </c>
      <c r="B982" s="27" t="s">
        <v>730</v>
      </c>
      <c r="C982" s="68">
        <v>142.91550000000001</v>
      </c>
      <c r="D982" s="68">
        <v>64.311975000000004</v>
      </c>
      <c r="E982" s="69" t="s">
        <v>954</v>
      </c>
      <c r="F982" s="68">
        <v>59.810136750000005</v>
      </c>
      <c r="G982" s="70">
        <v>44652</v>
      </c>
      <c r="H982" s="71">
        <v>44926</v>
      </c>
    </row>
    <row r="983" spans="1:8" x14ac:dyDescent="0.2">
      <c r="A983" s="32" t="s">
        <v>754</v>
      </c>
      <c r="B983" s="27" t="s">
        <v>732</v>
      </c>
      <c r="C983" s="68">
        <v>157.08000000000001</v>
      </c>
      <c r="D983" s="68">
        <v>70.686000000000007</v>
      </c>
      <c r="E983" s="69" t="s">
        <v>954</v>
      </c>
      <c r="F983" s="68">
        <v>65.737980000000007</v>
      </c>
      <c r="G983" s="70">
        <v>44652</v>
      </c>
      <c r="H983" s="71">
        <v>44926</v>
      </c>
    </row>
    <row r="984" spans="1:8" x14ac:dyDescent="0.2">
      <c r="A984" s="32" t="s">
        <v>755</v>
      </c>
      <c r="B984" s="27" t="s">
        <v>734</v>
      </c>
      <c r="C984" s="68">
        <v>153.6045</v>
      </c>
      <c r="D984" s="68">
        <v>69.122025000000008</v>
      </c>
      <c r="E984" s="69" t="s">
        <v>954</v>
      </c>
      <c r="F984" s="68">
        <v>64.283483250000018</v>
      </c>
      <c r="G984" s="70">
        <v>44652</v>
      </c>
      <c r="H984" s="71">
        <v>44926</v>
      </c>
    </row>
    <row r="985" spans="1:8" x14ac:dyDescent="0.2">
      <c r="A985" s="32" t="s">
        <v>756</v>
      </c>
      <c r="B985" s="27" t="s">
        <v>736</v>
      </c>
      <c r="C985" s="68">
        <v>167.8005</v>
      </c>
      <c r="D985" s="68">
        <v>75.510225000000005</v>
      </c>
      <c r="E985" s="69" t="s">
        <v>954</v>
      </c>
      <c r="F985" s="68">
        <v>70.224509250000011</v>
      </c>
      <c r="G985" s="70">
        <v>44652</v>
      </c>
      <c r="H985" s="71">
        <v>44926</v>
      </c>
    </row>
    <row r="986" spans="1:8" x14ac:dyDescent="0.2">
      <c r="A986" s="32" t="s">
        <v>757</v>
      </c>
      <c r="B986" s="27" t="s">
        <v>738</v>
      </c>
      <c r="C986" s="68">
        <v>162</v>
      </c>
      <c r="D986" s="68">
        <v>72.900000000000006</v>
      </c>
      <c r="E986" s="69" t="s">
        <v>954</v>
      </c>
      <c r="F986" s="68">
        <v>67.797000000000011</v>
      </c>
      <c r="G986" s="70">
        <v>44652</v>
      </c>
      <c r="H986" s="71">
        <v>44926</v>
      </c>
    </row>
    <row r="987" spans="1:8" x14ac:dyDescent="0.2">
      <c r="A987" s="32" t="s">
        <v>1103</v>
      </c>
      <c r="B987" s="27" t="s">
        <v>1102</v>
      </c>
      <c r="C987" s="68">
        <v>168</v>
      </c>
      <c r="D987" s="68">
        <v>75.600000000000009</v>
      </c>
      <c r="E987" s="69" t="s">
        <v>954</v>
      </c>
      <c r="F987" s="68">
        <v>70.308000000000007</v>
      </c>
      <c r="G987" s="70">
        <v>44652</v>
      </c>
      <c r="H987" s="71">
        <v>44926</v>
      </c>
    </row>
    <row r="988" spans="1:8" x14ac:dyDescent="0.2">
      <c r="A988" s="32" t="s">
        <v>758</v>
      </c>
      <c r="B988" s="27" t="s">
        <v>740</v>
      </c>
      <c r="C988" s="68">
        <v>161</v>
      </c>
      <c r="D988" s="68">
        <v>72.45</v>
      </c>
      <c r="E988" s="69" t="s">
        <v>954</v>
      </c>
      <c r="F988" s="68">
        <v>67.378500000000003</v>
      </c>
      <c r="G988" s="70">
        <v>44652</v>
      </c>
      <c r="H988" s="71">
        <v>44926</v>
      </c>
    </row>
    <row r="989" spans="1:8" x14ac:dyDescent="0.2">
      <c r="A989" s="32" t="s">
        <v>759</v>
      </c>
      <c r="B989" s="27" t="s">
        <v>742</v>
      </c>
      <c r="C989" s="68">
        <v>180</v>
      </c>
      <c r="D989" s="68">
        <v>81</v>
      </c>
      <c r="E989" s="69" t="s">
        <v>954</v>
      </c>
      <c r="F989" s="68">
        <v>75.33</v>
      </c>
      <c r="G989" s="70">
        <v>44652</v>
      </c>
      <c r="H989" s="71">
        <v>44926</v>
      </c>
    </row>
    <row r="990" spans="1:8" x14ac:dyDescent="0.2">
      <c r="A990" s="32" t="s">
        <v>1095</v>
      </c>
      <c r="B990" s="27" t="s">
        <v>1096</v>
      </c>
      <c r="C990" s="68">
        <v>173</v>
      </c>
      <c r="D990" s="68">
        <v>77.850000000000009</v>
      </c>
      <c r="E990" s="69" t="s">
        <v>8</v>
      </c>
      <c r="F990" s="68"/>
      <c r="G990" s="70">
        <v>44652</v>
      </c>
      <c r="H990" s="71">
        <v>44926</v>
      </c>
    </row>
    <row r="991" spans="1:8" x14ac:dyDescent="0.2">
      <c r="A991" s="32" t="s">
        <v>760</v>
      </c>
      <c r="B991" s="27" t="s">
        <v>761</v>
      </c>
      <c r="C991" s="68">
        <v>208</v>
      </c>
      <c r="D991" s="68">
        <v>93.600000000000009</v>
      </c>
      <c r="E991" s="69" t="s">
        <v>8</v>
      </c>
      <c r="F991" s="68"/>
      <c r="G991" s="70">
        <v>44652</v>
      </c>
      <c r="H991" s="71">
        <v>44926</v>
      </c>
    </row>
    <row r="992" spans="1:8" x14ac:dyDescent="0.2">
      <c r="A992" s="32" t="s">
        <v>762</v>
      </c>
      <c r="B992" s="27" t="s">
        <v>734</v>
      </c>
      <c r="C992" s="68">
        <v>168</v>
      </c>
      <c r="D992" s="68">
        <v>75.600000000000009</v>
      </c>
      <c r="E992" s="69" t="s">
        <v>8</v>
      </c>
      <c r="F992" s="68"/>
      <c r="G992" s="70">
        <v>44652</v>
      </c>
      <c r="H992" s="71">
        <v>44926</v>
      </c>
    </row>
    <row r="993" spans="1:8" x14ac:dyDescent="0.2">
      <c r="A993" s="32" t="s">
        <v>1093</v>
      </c>
      <c r="B993" s="27" t="s">
        <v>740</v>
      </c>
      <c r="C993" s="68">
        <v>221</v>
      </c>
      <c r="D993" s="68">
        <v>99.45</v>
      </c>
      <c r="E993" s="69" t="s">
        <v>8</v>
      </c>
      <c r="F993" s="68"/>
      <c r="G993" s="70">
        <v>44652</v>
      </c>
      <c r="H993" s="71">
        <v>44926</v>
      </c>
    </row>
    <row r="994" spans="1:8" x14ac:dyDescent="0.2">
      <c r="A994" s="32" t="s">
        <v>763</v>
      </c>
      <c r="B994" s="27" t="s">
        <v>730</v>
      </c>
      <c r="C994" s="68">
        <v>156</v>
      </c>
      <c r="D994" s="68">
        <v>70.2</v>
      </c>
      <c r="E994" s="69" t="s">
        <v>8</v>
      </c>
      <c r="F994" s="68"/>
      <c r="G994" s="70">
        <v>44652</v>
      </c>
      <c r="H994" s="71">
        <v>44926</v>
      </c>
    </row>
    <row r="995" spans="1:8" x14ac:dyDescent="0.2">
      <c r="A995" s="32" t="s">
        <v>764</v>
      </c>
      <c r="B995" s="27" t="s">
        <v>722</v>
      </c>
      <c r="C995" s="68">
        <v>406.70699999999999</v>
      </c>
      <c r="D995" s="68">
        <v>183.01814999999999</v>
      </c>
      <c r="E995" s="69" t="s">
        <v>8</v>
      </c>
      <c r="F995" s="68"/>
      <c r="G995" s="70">
        <v>44652</v>
      </c>
      <c r="H995" s="71">
        <v>44926</v>
      </c>
    </row>
    <row r="996" spans="1:8" x14ac:dyDescent="0.2">
      <c r="A996" s="32" t="s">
        <v>1257</v>
      </c>
      <c r="B996" s="27" t="s">
        <v>720</v>
      </c>
      <c r="C996" s="68">
        <v>402.06600000000003</v>
      </c>
      <c r="D996" s="68">
        <v>180.92970000000003</v>
      </c>
      <c r="E996" s="69" t="s">
        <v>8</v>
      </c>
      <c r="F996" s="68"/>
      <c r="G996" s="70">
        <v>44652</v>
      </c>
      <c r="H996" s="71">
        <v>44926</v>
      </c>
    </row>
    <row r="997" spans="1:8" x14ac:dyDescent="0.2">
      <c r="A997" s="32" t="s">
        <v>765</v>
      </c>
      <c r="B997" s="27" t="s">
        <v>722</v>
      </c>
      <c r="C997" s="68">
        <v>400</v>
      </c>
      <c r="D997" s="68">
        <v>180</v>
      </c>
      <c r="E997" s="69" t="s">
        <v>8</v>
      </c>
      <c r="F997" s="68"/>
      <c r="G997" s="70">
        <v>44652</v>
      </c>
      <c r="H997" s="71">
        <v>44926</v>
      </c>
    </row>
    <row r="998" spans="1:8" x14ac:dyDescent="0.2">
      <c r="A998" s="32" t="s">
        <v>766</v>
      </c>
      <c r="B998" s="27" t="s">
        <v>722</v>
      </c>
      <c r="C998" s="68">
        <v>409.19549999999998</v>
      </c>
      <c r="D998" s="68">
        <v>184.13797499999998</v>
      </c>
      <c r="E998" s="69" t="s">
        <v>8</v>
      </c>
      <c r="F998" s="68"/>
      <c r="G998" s="70">
        <v>44652</v>
      </c>
      <c r="H998" s="71">
        <v>44926</v>
      </c>
    </row>
    <row r="999" spans="1:8" x14ac:dyDescent="0.2">
      <c r="A999" s="32" t="s">
        <v>767</v>
      </c>
      <c r="B999" s="27" t="s">
        <v>734</v>
      </c>
      <c r="C999" s="68">
        <v>180</v>
      </c>
      <c r="D999" s="68">
        <v>81</v>
      </c>
      <c r="E999" s="69" t="s">
        <v>8</v>
      </c>
      <c r="F999" s="68"/>
      <c r="G999" s="70">
        <v>44652</v>
      </c>
      <c r="H999" s="71">
        <v>44926</v>
      </c>
    </row>
    <row r="1000" spans="1:8" x14ac:dyDescent="0.2">
      <c r="A1000" s="32" t="s">
        <v>768</v>
      </c>
      <c r="B1000" s="27" t="s">
        <v>720</v>
      </c>
      <c r="C1000" s="68">
        <v>348.43</v>
      </c>
      <c r="D1000" s="68">
        <v>156.79349999999999</v>
      </c>
      <c r="E1000" s="69" t="s">
        <v>8</v>
      </c>
      <c r="F1000" s="68"/>
      <c r="G1000" s="70">
        <v>44652</v>
      </c>
      <c r="H1000" s="71">
        <v>44926</v>
      </c>
    </row>
    <row r="1001" spans="1:8" x14ac:dyDescent="0.2">
      <c r="A1001" s="32" t="s">
        <v>769</v>
      </c>
      <c r="B1001" s="27" t="s">
        <v>722</v>
      </c>
      <c r="C1001" s="68">
        <v>365</v>
      </c>
      <c r="D1001" s="68">
        <v>164.25</v>
      </c>
      <c r="E1001" s="69" t="s">
        <v>8</v>
      </c>
      <c r="F1001" s="68"/>
      <c r="G1001" s="70">
        <v>44652</v>
      </c>
      <c r="H1001" s="71">
        <v>44926</v>
      </c>
    </row>
    <row r="1002" spans="1:8" x14ac:dyDescent="0.2">
      <c r="A1002" s="32" t="s">
        <v>1097</v>
      </c>
      <c r="B1002" s="27" t="s">
        <v>734</v>
      </c>
      <c r="C1002" s="68">
        <v>208</v>
      </c>
      <c r="D1002" s="68">
        <v>93.600000000000009</v>
      </c>
      <c r="E1002" s="69" t="s">
        <v>8</v>
      </c>
      <c r="F1002" s="68"/>
      <c r="G1002" s="70">
        <v>44652</v>
      </c>
      <c r="H1002" s="71">
        <v>44926</v>
      </c>
    </row>
    <row r="1003" spans="1:8" x14ac:dyDescent="0.2">
      <c r="A1003" s="32" t="s">
        <v>770</v>
      </c>
      <c r="B1003" s="27" t="s">
        <v>736</v>
      </c>
      <c r="C1003" s="68">
        <v>203</v>
      </c>
      <c r="D1003" s="68">
        <v>91.350000000000009</v>
      </c>
      <c r="E1003" s="69" t="s">
        <v>8</v>
      </c>
      <c r="F1003" s="68"/>
      <c r="G1003" s="70">
        <v>44652</v>
      </c>
      <c r="H1003" s="71">
        <v>44926</v>
      </c>
    </row>
    <row r="1004" spans="1:8" x14ac:dyDescent="0.2">
      <c r="A1004" s="32" t="s">
        <v>771</v>
      </c>
      <c r="B1004" s="27" t="s">
        <v>722</v>
      </c>
      <c r="C1004" s="68">
        <v>418</v>
      </c>
      <c r="D1004" s="68">
        <v>188.1</v>
      </c>
      <c r="E1004" s="69" t="s">
        <v>8</v>
      </c>
      <c r="F1004" s="68"/>
      <c r="G1004" s="70">
        <v>44652</v>
      </c>
      <c r="H1004" s="71">
        <v>44926</v>
      </c>
    </row>
    <row r="1005" spans="1:8" x14ac:dyDescent="0.2">
      <c r="A1005" s="32" t="s">
        <v>1256</v>
      </c>
      <c r="B1005" s="27" t="s">
        <v>773</v>
      </c>
      <c r="C1005" s="68">
        <v>381.01350000000002</v>
      </c>
      <c r="D1005" s="68">
        <v>171.45607500000003</v>
      </c>
      <c r="E1005" s="69" t="s">
        <v>8</v>
      </c>
      <c r="F1005" s="68"/>
      <c r="G1005" s="70">
        <v>44652</v>
      </c>
      <c r="H1005" s="71">
        <v>44926</v>
      </c>
    </row>
    <row r="1006" spans="1:8" x14ac:dyDescent="0.2">
      <c r="A1006" s="32" t="s">
        <v>1254</v>
      </c>
      <c r="B1006" s="27" t="s">
        <v>1255</v>
      </c>
      <c r="C1006" s="68">
        <v>375.00749999999999</v>
      </c>
      <c r="D1006" s="68">
        <v>168.75337500000001</v>
      </c>
      <c r="E1006" s="69" t="s">
        <v>8</v>
      </c>
      <c r="F1006" s="68"/>
      <c r="G1006" s="70">
        <v>44652</v>
      </c>
      <c r="H1006" s="71">
        <v>44926</v>
      </c>
    </row>
    <row r="1007" spans="1:8" x14ac:dyDescent="0.2">
      <c r="A1007" s="32" t="s">
        <v>772</v>
      </c>
      <c r="B1007" s="27" t="s">
        <v>773</v>
      </c>
      <c r="C1007" s="68">
        <v>380.4255</v>
      </c>
      <c r="D1007" s="68">
        <v>171.191475</v>
      </c>
      <c r="E1007" s="69" t="s">
        <v>8</v>
      </c>
      <c r="F1007" s="68"/>
      <c r="G1007" s="70">
        <v>44652</v>
      </c>
      <c r="H1007" s="71">
        <v>44926</v>
      </c>
    </row>
    <row r="1008" spans="1:8" x14ac:dyDescent="0.2">
      <c r="A1008" s="32" t="s">
        <v>1253</v>
      </c>
      <c r="B1008" s="27" t="s">
        <v>773</v>
      </c>
      <c r="C1008" s="68">
        <v>351</v>
      </c>
      <c r="D1008" s="68">
        <v>157.95000000000002</v>
      </c>
      <c r="E1008" s="69" t="s">
        <v>8</v>
      </c>
      <c r="F1008" s="68"/>
      <c r="G1008" s="70">
        <v>44652</v>
      </c>
      <c r="H1008" s="71">
        <v>44926</v>
      </c>
    </row>
    <row r="1009" spans="1:8" x14ac:dyDescent="0.2">
      <c r="A1009" s="32" t="s">
        <v>1100</v>
      </c>
      <c r="B1009" s="27" t="s">
        <v>736</v>
      </c>
      <c r="C1009" s="68">
        <v>194</v>
      </c>
      <c r="D1009" s="68">
        <v>87.3</v>
      </c>
      <c r="E1009" s="69" t="s">
        <v>8</v>
      </c>
      <c r="F1009" s="68"/>
      <c r="G1009" s="70">
        <v>44652</v>
      </c>
      <c r="H1009" s="71">
        <v>44926</v>
      </c>
    </row>
    <row r="1010" spans="1:8" x14ac:dyDescent="0.2">
      <c r="A1010" s="32" t="s">
        <v>774</v>
      </c>
      <c r="B1010" s="27" t="s">
        <v>773</v>
      </c>
      <c r="C1010" s="68">
        <v>380</v>
      </c>
      <c r="D1010" s="68">
        <v>171</v>
      </c>
      <c r="E1010" s="69" t="s">
        <v>8</v>
      </c>
      <c r="F1010" s="68"/>
      <c r="G1010" s="70">
        <v>44652</v>
      </c>
      <c r="H1010" s="71">
        <v>44926</v>
      </c>
    </row>
    <row r="1011" spans="1:8" x14ac:dyDescent="0.2">
      <c r="A1011" s="32" t="s">
        <v>775</v>
      </c>
      <c r="B1011" s="27" t="s">
        <v>776</v>
      </c>
      <c r="C1011" s="68">
        <v>278.63</v>
      </c>
      <c r="D1011" s="68">
        <v>125.3835</v>
      </c>
      <c r="E1011" s="69" t="s">
        <v>8</v>
      </c>
      <c r="F1011" s="68"/>
      <c r="G1011" s="70">
        <v>44652</v>
      </c>
      <c r="H1011" s="71">
        <v>44926</v>
      </c>
    </row>
    <row r="1012" spans="1:8" x14ac:dyDescent="0.2">
      <c r="A1012" s="32" t="s">
        <v>777</v>
      </c>
      <c r="B1012" s="27" t="s">
        <v>722</v>
      </c>
      <c r="C1012" s="68">
        <v>325</v>
      </c>
      <c r="D1012" s="68">
        <v>146.25</v>
      </c>
      <c r="E1012" s="69" t="s">
        <v>8</v>
      </c>
      <c r="F1012" s="68"/>
      <c r="G1012" s="70">
        <v>44652</v>
      </c>
      <c r="H1012" s="71">
        <v>44926</v>
      </c>
    </row>
    <row r="1013" spans="1:8" x14ac:dyDescent="0.2">
      <c r="A1013" s="32" t="s">
        <v>778</v>
      </c>
      <c r="B1013" s="27" t="s">
        <v>724</v>
      </c>
      <c r="C1013" s="68">
        <v>345.56550000000004</v>
      </c>
      <c r="D1013" s="68">
        <v>155.50447500000001</v>
      </c>
      <c r="E1013" s="69" t="s">
        <v>8</v>
      </c>
      <c r="F1013" s="68"/>
      <c r="G1013" s="70">
        <v>44652</v>
      </c>
      <c r="H1013" s="71">
        <v>44926</v>
      </c>
    </row>
    <row r="1014" spans="1:8" x14ac:dyDescent="0.2">
      <c r="A1014" s="32" t="s">
        <v>779</v>
      </c>
      <c r="B1014" s="27" t="s">
        <v>750</v>
      </c>
      <c r="C1014" s="68">
        <v>338.709</v>
      </c>
      <c r="D1014" s="68">
        <v>152.41905</v>
      </c>
      <c r="E1014" s="69" t="s">
        <v>8</v>
      </c>
      <c r="F1014" s="68"/>
      <c r="G1014" s="70">
        <v>44652</v>
      </c>
      <c r="H1014" s="71">
        <v>44926</v>
      </c>
    </row>
    <row r="1015" spans="1:8" x14ac:dyDescent="0.2">
      <c r="A1015" s="32" t="s">
        <v>780</v>
      </c>
      <c r="B1015" s="27" t="s">
        <v>734</v>
      </c>
      <c r="C1015" s="68">
        <v>165</v>
      </c>
      <c r="D1015" s="68">
        <v>74.25</v>
      </c>
      <c r="E1015" s="69" t="s">
        <v>8</v>
      </c>
      <c r="F1015" s="68"/>
      <c r="G1015" s="70">
        <v>44652</v>
      </c>
      <c r="H1015" s="71">
        <v>44926</v>
      </c>
    </row>
    <row r="1016" spans="1:8" x14ac:dyDescent="0.2">
      <c r="A1016" s="32" t="s">
        <v>781</v>
      </c>
      <c r="B1016" s="27" t="s">
        <v>736</v>
      </c>
      <c r="C1016" s="68">
        <v>175</v>
      </c>
      <c r="D1016" s="68">
        <v>78.75</v>
      </c>
      <c r="E1016" s="69" t="s">
        <v>8</v>
      </c>
      <c r="F1016" s="68"/>
      <c r="G1016" s="70">
        <v>44652</v>
      </c>
      <c r="H1016" s="71">
        <v>44926</v>
      </c>
    </row>
    <row r="1017" spans="1:8" x14ac:dyDescent="0.2">
      <c r="A1017" s="32" t="s">
        <v>1094</v>
      </c>
      <c r="B1017" s="27" t="s">
        <v>740</v>
      </c>
      <c r="C1017" s="68">
        <v>178</v>
      </c>
      <c r="D1017" s="68">
        <v>80.100000000000009</v>
      </c>
      <c r="E1017" s="69" t="s">
        <v>8</v>
      </c>
      <c r="F1017" s="68"/>
      <c r="G1017" s="70">
        <v>44652</v>
      </c>
      <c r="H1017" s="71">
        <v>44926</v>
      </c>
    </row>
    <row r="1018" spans="1:8" x14ac:dyDescent="0.2">
      <c r="A1018" s="32" t="s">
        <v>782</v>
      </c>
      <c r="B1018" s="27" t="s">
        <v>720</v>
      </c>
      <c r="C1018" s="68">
        <v>360</v>
      </c>
      <c r="D1018" s="68">
        <v>162</v>
      </c>
      <c r="E1018" s="69" t="s">
        <v>8</v>
      </c>
      <c r="F1018" s="68"/>
      <c r="G1018" s="70">
        <v>44652</v>
      </c>
      <c r="H1018" s="71">
        <v>44926</v>
      </c>
    </row>
    <row r="1019" spans="1:8" x14ac:dyDescent="0.2">
      <c r="A1019" s="32" t="s">
        <v>966</v>
      </c>
      <c r="B1019" s="27" t="s">
        <v>967</v>
      </c>
      <c r="C1019" s="68">
        <v>18.049500000000002</v>
      </c>
      <c r="D1019" s="68">
        <v>8.1222750000000019</v>
      </c>
      <c r="E1019" s="69" t="s">
        <v>954</v>
      </c>
      <c r="F1019" s="68">
        <v>7.5537157500000021</v>
      </c>
      <c r="G1019" s="70">
        <v>44652</v>
      </c>
      <c r="H1019" s="71">
        <v>44926</v>
      </c>
    </row>
    <row r="1020" spans="1:8" x14ac:dyDescent="0.2">
      <c r="A1020" s="32" t="s">
        <v>783</v>
      </c>
      <c r="B1020" s="27" t="s">
        <v>784</v>
      </c>
      <c r="C1020" s="68">
        <v>0.2205</v>
      </c>
      <c r="D1020" s="68">
        <v>9.9225000000000008E-2</v>
      </c>
      <c r="E1020" s="69" t="s">
        <v>8</v>
      </c>
      <c r="F1020" s="68"/>
      <c r="G1020" s="70">
        <v>44652</v>
      </c>
      <c r="H1020" s="71">
        <v>44926</v>
      </c>
    </row>
    <row r="1021" spans="1:8" x14ac:dyDescent="0.2">
      <c r="A1021" s="32" t="s">
        <v>1300</v>
      </c>
      <c r="B1021" s="27" t="s">
        <v>786</v>
      </c>
      <c r="C1021" s="68">
        <v>67.473000000000013</v>
      </c>
      <c r="D1021" s="68">
        <v>30.362850000000005</v>
      </c>
      <c r="E1021" s="69" t="s">
        <v>8</v>
      </c>
      <c r="F1021" s="68"/>
      <c r="G1021" s="70">
        <v>44652</v>
      </c>
      <c r="H1021" s="71">
        <v>44926</v>
      </c>
    </row>
    <row r="1022" spans="1:8" x14ac:dyDescent="0.2">
      <c r="A1022" s="32" t="s">
        <v>785</v>
      </c>
      <c r="B1022" s="27" t="s">
        <v>786</v>
      </c>
      <c r="C1022" s="68">
        <v>57.466499999999996</v>
      </c>
      <c r="D1022" s="68">
        <v>25.859925</v>
      </c>
      <c r="E1022" s="69" t="s">
        <v>8</v>
      </c>
      <c r="F1022" s="68"/>
      <c r="G1022" s="70">
        <v>44652</v>
      </c>
      <c r="H1022" s="71">
        <v>44926</v>
      </c>
    </row>
    <row r="1023" spans="1:8" x14ac:dyDescent="0.2">
      <c r="A1023" s="32" t="s">
        <v>787</v>
      </c>
      <c r="B1023" s="27" t="s">
        <v>788</v>
      </c>
      <c r="C1023" s="68">
        <v>75.883499999999998</v>
      </c>
      <c r="D1023" s="68">
        <v>34.147575000000003</v>
      </c>
      <c r="E1023" s="69" t="s">
        <v>8</v>
      </c>
      <c r="F1023" s="68"/>
      <c r="G1023" s="70">
        <v>44652</v>
      </c>
      <c r="H1023" s="71">
        <v>44926</v>
      </c>
    </row>
    <row r="1024" spans="1:8" x14ac:dyDescent="0.2">
      <c r="A1024" s="32" t="s">
        <v>789</v>
      </c>
      <c r="B1024" s="27" t="s">
        <v>788</v>
      </c>
      <c r="C1024" s="68">
        <v>87.517499999999998</v>
      </c>
      <c r="D1024" s="68">
        <v>39.382874999999999</v>
      </c>
      <c r="E1024" s="69" t="s">
        <v>8</v>
      </c>
      <c r="F1024" s="68"/>
      <c r="G1024" s="70">
        <v>44652</v>
      </c>
      <c r="H1024" s="71">
        <v>44926</v>
      </c>
    </row>
    <row r="1025" spans="1:8" x14ac:dyDescent="0.2">
      <c r="A1025" s="32" t="s">
        <v>790</v>
      </c>
      <c r="B1025" s="27" t="s">
        <v>791</v>
      </c>
      <c r="C1025" s="68">
        <v>52.825500000000005</v>
      </c>
      <c r="D1025" s="68">
        <v>23.771475000000002</v>
      </c>
      <c r="E1025" s="69" t="s">
        <v>8</v>
      </c>
      <c r="F1025" s="68"/>
      <c r="G1025" s="70">
        <v>44652</v>
      </c>
      <c r="H1025" s="71">
        <v>44926</v>
      </c>
    </row>
    <row r="1026" spans="1:8" x14ac:dyDescent="0.2">
      <c r="A1026" s="32" t="s">
        <v>1308</v>
      </c>
      <c r="B1026" s="27" t="s">
        <v>1309</v>
      </c>
      <c r="C1026" s="68">
        <v>61.960500000000003</v>
      </c>
      <c r="D1026" s="68">
        <v>27.882225000000002</v>
      </c>
      <c r="E1026" s="69" t="s">
        <v>8</v>
      </c>
      <c r="F1026" s="68"/>
      <c r="G1026" s="70">
        <v>44652</v>
      </c>
      <c r="H1026" s="71">
        <v>44926</v>
      </c>
    </row>
    <row r="1027" spans="1:8" x14ac:dyDescent="0.2">
      <c r="A1027" s="32" t="s">
        <v>1304</v>
      </c>
      <c r="B1027" s="27" t="s">
        <v>1305</v>
      </c>
      <c r="C1027" s="68">
        <v>46.850999999999999</v>
      </c>
      <c r="D1027" s="68">
        <v>21.08295</v>
      </c>
      <c r="E1027" s="69" t="s">
        <v>8</v>
      </c>
      <c r="F1027" s="68"/>
      <c r="G1027" s="70">
        <v>44652</v>
      </c>
      <c r="H1027" s="71">
        <v>44926</v>
      </c>
    </row>
    <row r="1028" spans="1:8" x14ac:dyDescent="0.2">
      <c r="A1028" s="32" t="s">
        <v>1310</v>
      </c>
      <c r="B1028" s="27" t="s">
        <v>1311</v>
      </c>
      <c r="C1028" s="68">
        <v>55.314</v>
      </c>
      <c r="D1028" s="68">
        <v>24.891300000000001</v>
      </c>
      <c r="E1028" s="69" t="s">
        <v>8</v>
      </c>
      <c r="F1028" s="68"/>
      <c r="G1028" s="70">
        <v>44652</v>
      </c>
      <c r="H1028" s="71">
        <v>44926</v>
      </c>
    </row>
    <row r="1029" spans="1:8" x14ac:dyDescent="0.2">
      <c r="A1029" s="32" t="s">
        <v>1299</v>
      </c>
      <c r="B1029" s="27" t="s">
        <v>786</v>
      </c>
      <c r="C1029" s="68">
        <v>57.886500000000005</v>
      </c>
      <c r="D1029" s="68">
        <v>26.048925000000004</v>
      </c>
      <c r="E1029" s="69" t="s">
        <v>8</v>
      </c>
      <c r="F1029" s="68"/>
      <c r="G1029" s="70">
        <v>44652</v>
      </c>
      <c r="H1029" s="71">
        <v>44926</v>
      </c>
    </row>
    <row r="1030" spans="1:8" x14ac:dyDescent="0.2">
      <c r="A1030" s="32" t="s">
        <v>1346</v>
      </c>
      <c r="B1030" s="27" t="s">
        <v>1347</v>
      </c>
      <c r="C1030" s="68">
        <v>69.625500000000002</v>
      </c>
      <c r="D1030" s="68">
        <v>31.331475000000001</v>
      </c>
      <c r="E1030" s="69" t="s">
        <v>954</v>
      </c>
      <c r="F1030" s="68">
        <v>29.138271750000001</v>
      </c>
      <c r="G1030" s="70">
        <v>44652</v>
      </c>
      <c r="H1030" s="71">
        <v>44926</v>
      </c>
    </row>
    <row r="1031" spans="1:8" x14ac:dyDescent="0.2">
      <c r="A1031" s="26" t="s">
        <v>792</v>
      </c>
      <c r="B1031" s="27" t="s">
        <v>793</v>
      </c>
      <c r="C1031" s="68">
        <v>3.1500000000000004</v>
      </c>
      <c r="D1031" s="68">
        <v>1.4175000000000002</v>
      </c>
      <c r="E1031" s="69" t="s">
        <v>8</v>
      </c>
      <c r="F1031" s="68"/>
      <c r="G1031" s="70">
        <v>44652</v>
      </c>
      <c r="H1031" s="71">
        <v>44926</v>
      </c>
    </row>
    <row r="1032" spans="1:8" x14ac:dyDescent="0.2">
      <c r="A1032" s="32" t="s">
        <v>794</v>
      </c>
      <c r="B1032" s="27" t="s">
        <v>795</v>
      </c>
      <c r="C1032" s="68">
        <v>8.0500000000000007</v>
      </c>
      <c r="D1032" s="68">
        <v>3.6225000000000005</v>
      </c>
      <c r="E1032" s="69" t="s">
        <v>8</v>
      </c>
      <c r="F1032" s="68"/>
      <c r="G1032" s="70">
        <v>44652</v>
      </c>
      <c r="H1032" s="71">
        <v>44926</v>
      </c>
    </row>
    <row r="1033" spans="1:8" x14ac:dyDescent="0.2">
      <c r="A1033" s="32" t="s">
        <v>796</v>
      </c>
      <c r="B1033" s="27" t="s">
        <v>797</v>
      </c>
      <c r="C1033" s="68">
        <v>9</v>
      </c>
      <c r="D1033" s="68">
        <v>4.05</v>
      </c>
      <c r="E1033" s="69" t="s">
        <v>8</v>
      </c>
      <c r="F1033" s="68"/>
      <c r="G1033" s="70">
        <v>44652</v>
      </c>
      <c r="H1033" s="71">
        <v>44926</v>
      </c>
    </row>
    <row r="1034" spans="1:8" x14ac:dyDescent="0.2">
      <c r="A1034" s="32" t="s">
        <v>798</v>
      </c>
      <c r="B1034" s="27" t="s">
        <v>799</v>
      </c>
      <c r="C1034" s="68">
        <v>8.11</v>
      </c>
      <c r="D1034" s="68">
        <v>3.6494999999999997</v>
      </c>
      <c r="E1034" s="69" t="s">
        <v>8</v>
      </c>
      <c r="F1034" s="68"/>
      <c r="G1034" s="70">
        <v>44652</v>
      </c>
      <c r="H1034" s="71">
        <v>44926</v>
      </c>
    </row>
    <row r="1035" spans="1:8" x14ac:dyDescent="0.2">
      <c r="A1035" s="32" t="s">
        <v>800</v>
      </c>
      <c r="B1035" s="27" t="s">
        <v>801</v>
      </c>
      <c r="C1035" s="68">
        <v>6.8</v>
      </c>
      <c r="D1035" s="68">
        <v>3.06</v>
      </c>
      <c r="E1035" s="69" t="s">
        <v>8</v>
      </c>
      <c r="F1035" s="68"/>
      <c r="G1035" s="70">
        <v>44652</v>
      </c>
      <c r="H1035" s="71">
        <v>44926</v>
      </c>
    </row>
    <row r="1036" spans="1:8" x14ac:dyDescent="0.2">
      <c r="A1036" s="32" t="s">
        <v>802</v>
      </c>
      <c r="B1036" s="27" t="s">
        <v>803</v>
      </c>
      <c r="C1036" s="68">
        <v>1.4489999999999998</v>
      </c>
      <c r="D1036" s="68">
        <v>0.65204999999999991</v>
      </c>
      <c r="E1036" s="69" t="s">
        <v>954</v>
      </c>
      <c r="F1036" s="68">
        <v>0.60640649999999996</v>
      </c>
      <c r="G1036" s="70">
        <v>44652</v>
      </c>
      <c r="H1036" s="71">
        <v>44926</v>
      </c>
    </row>
    <row r="1037" spans="1:8" x14ac:dyDescent="0.2">
      <c r="A1037" s="32" t="s">
        <v>985</v>
      </c>
      <c r="B1037" s="27" t="s">
        <v>986</v>
      </c>
      <c r="C1037" s="68">
        <v>45.969000000000001</v>
      </c>
      <c r="D1037" s="68">
        <v>20.686050000000002</v>
      </c>
      <c r="E1037" s="69" t="s">
        <v>8</v>
      </c>
      <c r="F1037" s="68"/>
      <c r="G1037" s="70">
        <v>44652</v>
      </c>
      <c r="H1037" s="71">
        <v>44926</v>
      </c>
    </row>
    <row r="1038" spans="1:8" x14ac:dyDescent="0.2">
      <c r="A1038" s="32" t="s">
        <v>984</v>
      </c>
      <c r="B1038" s="27" t="s">
        <v>978</v>
      </c>
      <c r="C1038" s="68">
        <v>289.21199999999999</v>
      </c>
      <c r="D1038" s="68">
        <v>130.1454</v>
      </c>
      <c r="E1038" s="69" t="s">
        <v>8</v>
      </c>
      <c r="F1038" s="68"/>
      <c r="G1038" s="70">
        <v>44652</v>
      </c>
      <c r="H1038" s="71">
        <v>44926</v>
      </c>
    </row>
    <row r="1039" spans="1:8" x14ac:dyDescent="0.2">
      <c r="A1039" s="32" t="s">
        <v>977</v>
      </c>
      <c r="B1039" s="27" t="s">
        <v>978</v>
      </c>
      <c r="C1039" s="68">
        <v>239.38</v>
      </c>
      <c r="D1039" s="68">
        <v>107.721</v>
      </c>
      <c r="E1039" s="69" t="s">
        <v>8</v>
      </c>
      <c r="F1039" s="68"/>
      <c r="G1039" s="70">
        <v>44652</v>
      </c>
      <c r="H1039" s="71">
        <v>44926</v>
      </c>
    </row>
    <row r="1040" spans="1:8" x14ac:dyDescent="0.2">
      <c r="A1040" s="32" t="s">
        <v>969</v>
      </c>
      <c r="B1040" s="27" t="s">
        <v>970</v>
      </c>
      <c r="C1040" s="68">
        <v>34.26</v>
      </c>
      <c r="D1040" s="68">
        <v>15.417</v>
      </c>
      <c r="E1040" s="69" t="s">
        <v>8</v>
      </c>
      <c r="F1040" s="68"/>
      <c r="G1040" s="70">
        <v>44652</v>
      </c>
      <c r="H1040" s="71">
        <v>44926</v>
      </c>
    </row>
    <row r="1041" spans="1:8" x14ac:dyDescent="0.2">
      <c r="A1041" s="32" t="s">
        <v>971</v>
      </c>
      <c r="B1041" s="27" t="s">
        <v>972</v>
      </c>
      <c r="C1041" s="68">
        <v>41.73</v>
      </c>
      <c r="D1041" s="68">
        <v>18.778499999999998</v>
      </c>
      <c r="E1041" s="69" t="s">
        <v>8</v>
      </c>
      <c r="F1041" s="68"/>
      <c r="G1041" s="70">
        <v>44652</v>
      </c>
      <c r="H1041" s="71">
        <v>44926</v>
      </c>
    </row>
    <row r="1042" spans="1:8" x14ac:dyDescent="0.2">
      <c r="A1042" s="32" t="s">
        <v>804</v>
      </c>
      <c r="B1042" s="27" t="s">
        <v>805</v>
      </c>
      <c r="C1042" s="68">
        <v>38.0625</v>
      </c>
      <c r="D1042" s="68">
        <v>17.128125000000001</v>
      </c>
      <c r="E1042" s="69" t="s">
        <v>8</v>
      </c>
      <c r="F1042" s="68"/>
      <c r="G1042" s="70">
        <v>44652</v>
      </c>
      <c r="H1042" s="71">
        <v>44926</v>
      </c>
    </row>
    <row r="1043" spans="1:8" x14ac:dyDescent="0.2">
      <c r="A1043" s="32" t="s">
        <v>806</v>
      </c>
      <c r="B1043" s="27" t="s">
        <v>807</v>
      </c>
      <c r="C1043" s="68">
        <v>37.747500000000002</v>
      </c>
      <c r="D1043" s="68">
        <v>16.986375000000002</v>
      </c>
      <c r="E1043" s="69" t="s">
        <v>8</v>
      </c>
      <c r="F1043" s="68"/>
      <c r="G1043" s="70">
        <v>44652</v>
      </c>
      <c r="H1043" s="71">
        <v>44926</v>
      </c>
    </row>
    <row r="1044" spans="1:8" x14ac:dyDescent="0.2">
      <c r="A1044" s="32" t="s">
        <v>987</v>
      </c>
      <c r="B1044" s="27" t="s">
        <v>988</v>
      </c>
      <c r="C1044" s="68">
        <v>51.313499999999998</v>
      </c>
      <c r="D1044" s="68">
        <v>23.091075</v>
      </c>
      <c r="E1044" s="69" t="s">
        <v>8</v>
      </c>
      <c r="F1044" s="68"/>
      <c r="G1044" s="70">
        <v>44652</v>
      </c>
      <c r="H1044" s="71">
        <v>44926</v>
      </c>
    </row>
    <row r="1045" spans="1:8" x14ac:dyDescent="0.2">
      <c r="A1045" s="32" t="s">
        <v>808</v>
      </c>
      <c r="B1045" s="27" t="s">
        <v>809</v>
      </c>
      <c r="C1045" s="68">
        <v>33.299999999999997</v>
      </c>
      <c r="D1045" s="68">
        <v>14.984999999999999</v>
      </c>
      <c r="E1045" s="69" t="s">
        <v>8</v>
      </c>
      <c r="F1045" s="68"/>
      <c r="G1045" s="70">
        <v>44652</v>
      </c>
      <c r="H1045" s="71">
        <v>44926</v>
      </c>
    </row>
    <row r="1046" spans="1:8" x14ac:dyDescent="0.2">
      <c r="A1046" s="32" t="s">
        <v>810</v>
      </c>
      <c r="B1046" s="27" t="s">
        <v>811</v>
      </c>
      <c r="C1046" s="68">
        <v>48.510000000000005</v>
      </c>
      <c r="D1046" s="68">
        <v>21.829500000000003</v>
      </c>
      <c r="E1046" s="69" t="s">
        <v>8</v>
      </c>
      <c r="F1046" s="68"/>
      <c r="G1046" s="70">
        <v>44652</v>
      </c>
      <c r="H1046" s="71">
        <v>44926</v>
      </c>
    </row>
    <row r="1047" spans="1:8" x14ac:dyDescent="0.2">
      <c r="A1047" s="32" t="s">
        <v>812</v>
      </c>
      <c r="B1047" s="27" t="s">
        <v>813</v>
      </c>
      <c r="C1047" s="68">
        <v>20.260000000000002</v>
      </c>
      <c r="D1047" s="68">
        <v>9.1170000000000009</v>
      </c>
      <c r="E1047" s="69" t="s">
        <v>8</v>
      </c>
      <c r="F1047" s="68"/>
      <c r="G1047" s="70">
        <v>44652</v>
      </c>
      <c r="H1047" s="71">
        <v>44926</v>
      </c>
    </row>
    <row r="1048" spans="1:8" x14ac:dyDescent="0.2">
      <c r="A1048" s="32" t="s">
        <v>814</v>
      </c>
      <c r="B1048" s="27" t="s">
        <v>813</v>
      </c>
      <c r="C1048" s="68">
        <v>46.032000000000004</v>
      </c>
      <c r="D1048" s="68">
        <v>20.714400000000001</v>
      </c>
      <c r="E1048" s="69" t="s">
        <v>8</v>
      </c>
      <c r="F1048" s="68"/>
      <c r="G1048" s="70">
        <v>44652</v>
      </c>
      <c r="H1048" s="71">
        <v>44926</v>
      </c>
    </row>
    <row r="1049" spans="1:8" x14ac:dyDescent="0.2">
      <c r="A1049" s="32" t="s">
        <v>815</v>
      </c>
      <c r="B1049" s="27" t="s">
        <v>816</v>
      </c>
      <c r="C1049" s="68">
        <v>15.120000000000001</v>
      </c>
      <c r="D1049" s="68">
        <v>6.8040000000000003</v>
      </c>
      <c r="E1049" s="69" t="s">
        <v>8</v>
      </c>
      <c r="F1049" s="68"/>
      <c r="G1049" s="70">
        <v>44652</v>
      </c>
      <c r="H1049" s="71">
        <v>44926</v>
      </c>
    </row>
    <row r="1050" spans="1:8" x14ac:dyDescent="0.2">
      <c r="A1050" s="32" t="s">
        <v>980</v>
      </c>
      <c r="B1050" s="27" t="s">
        <v>816</v>
      </c>
      <c r="C1050" s="68">
        <v>57.183</v>
      </c>
      <c r="D1050" s="68">
        <v>25.73235</v>
      </c>
      <c r="E1050" s="69" t="s">
        <v>8</v>
      </c>
      <c r="F1050" s="68"/>
      <c r="G1050" s="70">
        <v>44652</v>
      </c>
      <c r="H1050" s="71">
        <v>44926</v>
      </c>
    </row>
    <row r="1051" spans="1:8" x14ac:dyDescent="0.2">
      <c r="A1051" s="32" t="s">
        <v>817</v>
      </c>
      <c r="B1051" s="27" t="s">
        <v>818</v>
      </c>
      <c r="C1051" s="68">
        <v>14.973000000000001</v>
      </c>
      <c r="D1051" s="68">
        <v>6.7378500000000008</v>
      </c>
      <c r="E1051" s="69" t="s">
        <v>8</v>
      </c>
      <c r="F1051" s="68"/>
      <c r="G1051" s="70">
        <v>44652</v>
      </c>
      <c r="H1051" s="71">
        <v>44926</v>
      </c>
    </row>
    <row r="1052" spans="1:8" x14ac:dyDescent="0.2">
      <c r="A1052" s="32" t="s">
        <v>819</v>
      </c>
      <c r="B1052" s="27" t="s">
        <v>818</v>
      </c>
      <c r="C1052" s="68">
        <v>32.560500000000005</v>
      </c>
      <c r="D1052" s="68">
        <v>14.652225000000003</v>
      </c>
      <c r="E1052" s="69" t="s">
        <v>8</v>
      </c>
      <c r="F1052" s="68"/>
      <c r="G1052" s="70">
        <v>44652</v>
      </c>
      <c r="H1052" s="71">
        <v>44926</v>
      </c>
    </row>
    <row r="1053" spans="1:8" x14ac:dyDescent="0.2">
      <c r="A1053" s="32" t="s">
        <v>820</v>
      </c>
      <c r="B1053" s="27" t="s">
        <v>821</v>
      </c>
      <c r="C1053" s="68">
        <v>0.315</v>
      </c>
      <c r="D1053" s="68">
        <v>0.14175000000000001</v>
      </c>
      <c r="E1053" s="69" t="s">
        <v>8</v>
      </c>
      <c r="F1053" s="68"/>
      <c r="G1053" s="70">
        <v>44652</v>
      </c>
      <c r="H1053" s="71">
        <v>44926</v>
      </c>
    </row>
    <row r="1054" spans="1:8" x14ac:dyDescent="0.2">
      <c r="A1054" s="32" t="s">
        <v>822</v>
      </c>
      <c r="B1054" s="27" t="s">
        <v>823</v>
      </c>
      <c r="C1054" s="68">
        <v>2.0499999999999998</v>
      </c>
      <c r="D1054" s="68">
        <v>0.92249999999999999</v>
      </c>
      <c r="E1054" s="69" t="s">
        <v>8</v>
      </c>
      <c r="F1054" s="68"/>
      <c r="G1054" s="70">
        <v>44652</v>
      </c>
      <c r="H1054" s="71">
        <v>44926</v>
      </c>
    </row>
    <row r="1055" spans="1:8" x14ac:dyDescent="0.2">
      <c r="A1055" s="32" t="s">
        <v>996</v>
      </c>
      <c r="B1055" s="27" t="s">
        <v>997</v>
      </c>
      <c r="C1055" s="68">
        <v>94.363500000000002</v>
      </c>
      <c r="D1055" s="68">
        <v>42.463574999999999</v>
      </c>
      <c r="E1055" s="69"/>
      <c r="F1055" s="68"/>
      <c r="G1055" s="70">
        <v>44652</v>
      </c>
      <c r="H1055" s="71">
        <v>44926</v>
      </c>
    </row>
    <row r="1056" spans="1:8" x14ac:dyDescent="0.2">
      <c r="A1056" s="32" t="s">
        <v>824</v>
      </c>
      <c r="B1056" s="27" t="s">
        <v>825</v>
      </c>
      <c r="C1056" s="68">
        <v>12.78</v>
      </c>
      <c r="D1056" s="68">
        <v>5.7509999999999994</v>
      </c>
      <c r="E1056" s="69" t="s">
        <v>8</v>
      </c>
      <c r="F1056" s="68"/>
      <c r="G1056" s="70">
        <v>44652</v>
      </c>
      <c r="H1056" s="71">
        <v>44926</v>
      </c>
    </row>
    <row r="1057" spans="1:8" x14ac:dyDescent="0.2">
      <c r="A1057" s="32" t="s">
        <v>998</v>
      </c>
      <c r="B1057" s="27" t="s">
        <v>999</v>
      </c>
      <c r="C1057" s="68">
        <v>0.46200000000000002</v>
      </c>
      <c r="D1057" s="68">
        <v>0.2079</v>
      </c>
      <c r="E1057" s="69"/>
      <c r="F1057" s="68"/>
      <c r="G1057" s="70">
        <v>44652</v>
      </c>
      <c r="H1057" s="71">
        <v>44926</v>
      </c>
    </row>
    <row r="1058" spans="1:8" x14ac:dyDescent="0.2">
      <c r="A1058" s="32" t="s">
        <v>826</v>
      </c>
      <c r="B1058" s="27" t="s">
        <v>1007</v>
      </c>
      <c r="C1058" s="68">
        <v>0.13650000000000001</v>
      </c>
      <c r="D1058" s="68">
        <v>6.1425000000000007E-2</v>
      </c>
      <c r="E1058" s="69" t="s">
        <v>8</v>
      </c>
      <c r="F1058" s="68"/>
      <c r="G1058" s="70">
        <v>44652</v>
      </c>
      <c r="H1058" s="71">
        <v>44926</v>
      </c>
    </row>
    <row r="1059" spans="1:8" x14ac:dyDescent="0.2">
      <c r="A1059" s="32" t="s">
        <v>1005</v>
      </c>
      <c r="B1059" s="27" t="s">
        <v>1006</v>
      </c>
      <c r="C1059" s="68">
        <v>0.35700000000000004</v>
      </c>
      <c r="D1059" s="68">
        <v>0.16065000000000002</v>
      </c>
      <c r="E1059" s="69" t="s">
        <v>8</v>
      </c>
      <c r="F1059" s="68"/>
      <c r="G1059" s="70">
        <v>44652</v>
      </c>
      <c r="H1059" s="71">
        <v>44926</v>
      </c>
    </row>
    <row r="1060" spans="1:8" x14ac:dyDescent="0.2">
      <c r="A1060" s="32" t="s">
        <v>1178</v>
      </c>
      <c r="B1060" s="27" t="s">
        <v>1179</v>
      </c>
      <c r="C1060" s="68">
        <v>475.923</v>
      </c>
      <c r="D1060" s="68">
        <v>214.16535000000002</v>
      </c>
      <c r="E1060" s="69" t="s">
        <v>8</v>
      </c>
      <c r="F1060" s="68"/>
      <c r="G1060" s="70">
        <v>44652</v>
      </c>
      <c r="H1060" s="71">
        <v>44926</v>
      </c>
    </row>
    <row r="1061" spans="1:8" x14ac:dyDescent="0.2">
      <c r="A1061" s="32" t="s">
        <v>827</v>
      </c>
      <c r="B1061" s="27" t="s">
        <v>828</v>
      </c>
      <c r="C1061" s="68">
        <v>359.97149999999999</v>
      </c>
      <c r="D1061" s="68">
        <v>161.98717500000001</v>
      </c>
      <c r="E1061" s="69" t="s">
        <v>8</v>
      </c>
      <c r="F1061" s="68"/>
      <c r="G1061" s="70">
        <v>44652</v>
      </c>
      <c r="H1061" s="71">
        <v>44926</v>
      </c>
    </row>
    <row r="1062" spans="1:8" x14ac:dyDescent="0.2">
      <c r="A1062" s="32" t="s">
        <v>1188</v>
      </c>
      <c r="B1062" s="27" t="s">
        <v>1189</v>
      </c>
      <c r="C1062" s="68">
        <v>419.4855</v>
      </c>
      <c r="D1062" s="68">
        <v>188.768475</v>
      </c>
      <c r="E1062" s="69" t="s">
        <v>8</v>
      </c>
      <c r="F1062" s="68"/>
      <c r="G1062" s="70">
        <v>44652</v>
      </c>
      <c r="H1062" s="71">
        <v>44926</v>
      </c>
    </row>
    <row r="1063" spans="1:8" x14ac:dyDescent="0.2">
      <c r="A1063" s="32" t="s">
        <v>1169</v>
      </c>
      <c r="B1063" s="27" t="s">
        <v>1170</v>
      </c>
      <c r="C1063" s="68">
        <v>340.29449999999997</v>
      </c>
      <c r="D1063" s="68">
        <v>153.13252499999999</v>
      </c>
      <c r="E1063" s="69" t="s">
        <v>8</v>
      </c>
      <c r="F1063" s="68"/>
      <c r="G1063" s="70">
        <v>44652</v>
      </c>
      <c r="H1063" s="71">
        <v>44926</v>
      </c>
    </row>
    <row r="1064" spans="1:8" x14ac:dyDescent="0.2">
      <c r="A1064" s="32" t="s">
        <v>829</v>
      </c>
      <c r="B1064" s="27" t="s">
        <v>830</v>
      </c>
      <c r="C1064" s="68">
        <v>131.90100000000001</v>
      </c>
      <c r="D1064" s="68">
        <v>59.355450000000005</v>
      </c>
      <c r="E1064" s="69" t="s">
        <v>8</v>
      </c>
      <c r="F1064" s="68"/>
      <c r="G1064" s="70">
        <v>44652</v>
      </c>
      <c r="H1064" s="71">
        <v>44926</v>
      </c>
    </row>
    <row r="1065" spans="1:8" x14ac:dyDescent="0.2">
      <c r="A1065" s="32" t="s">
        <v>831</v>
      </c>
      <c r="B1065" s="27" t="s">
        <v>832</v>
      </c>
      <c r="C1065" s="68">
        <v>409.3845</v>
      </c>
      <c r="D1065" s="68">
        <v>184.22302500000001</v>
      </c>
      <c r="E1065" s="69" t="s">
        <v>8</v>
      </c>
      <c r="F1065" s="68"/>
      <c r="G1065" s="70">
        <v>44652</v>
      </c>
      <c r="H1065" s="71">
        <v>44926</v>
      </c>
    </row>
    <row r="1066" spans="1:8" x14ac:dyDescent="0.2">
      <c r="A1066" s="32" t="s">
        <v>833</v>
      </c>
      <c r="B1066" s="27" t="s">
        <v>832</v>
      </c>
      <c r="C1066" s="68">
        <v>364.39200000000005</v>
      </c>
      <c r="D1066" s="68">
        <v>163.97640000000004</v>
      </c>
      <c r="E1066" s="69" t="s">
        <v>8</v>
      </c>
      <c r="F1066" s="68"/>
      <c r="G1066" s="70">
        <v>44652</v>
      </c>
      <c r="H1066" s="71">
        <v>44926</v>
      </c>
    </row>
    <row r="1067" spans="1:8" x14ac:dyDescent="0.2">
      <c r="A1067" s="32" t="s">
        <v>834</v>
      </c>
      <c r="B1067" s="27" t="s">
        <v>835</v>
      </c>
      <c r="C1067" s="68">
        <v>463.21800000000002</v>
      </c>
      <c r="D1067" s="68">
        <v>208.44810000000001</v>
      </c>
      <c r="E1067" s="69" t="s">
        <v>8</v>
      </c>
      <c r="F1067" s="68"/>
      <c r="G1067" s="70">
        <v>44652</v>
      </c>
      <c r="H1067" s="71">
        <v>44926</v>
      </c>
    </row>
    <row r="1068" spans="1:8" x14ac:dyDescent="0.2">
      <c r="A1068" s="32" t="s">
        <v>836</v>
      </c>
      <c r="B1068" s="27" t="s">
        <v>837</v>
      </c>
      <c r="C1068" s="68">
        <v>456.96</v>
      </c>
      <c r="D1068" s="68">
        <v>205.63200000000001</v>
      </c>
      <c r="E1068" s="69" t="s">
        <v>8</v>
      </c>
      <c r="F1068" s="68"/>
      <c r="G1068" s="70">
        <v>44652</v>
      </c>
      <c r="H1068" s="71">
        <v>44926</v>
      </c>
    </row>
    <row r="1069" spans="1:8" x14ac:dyDescent="0.2">
      <c r="A1069" s="32" t="s">
        <v>1071</v>
      </c>
      <c r="B1069" s="27" t="s">
        <v>1072</v>
      </c>
      <c r="C1069" s="68">
        <v>637.94850000000008</v>
      </c>
      <c r="D1069" s="68">
        <v>287.07682500000004</v>
      </c>
      <c r="E1069" s="69" t="s">
        <v>8</v>
      </c>
      <c r="F1069" s="68"/>
      <c r="G1069" s="70">
        <v>44652</v>
      </c>
      <c r="H1069" s="71">
        <v>44926</v>
      </c>
    </row>
    <row r="1070" spans="1:8" x14ac:dyDescent="0.2">
      <c r="A1070" s="32" t="s">
        <v>838</v>
      </c>
      <c r="B1070" s="27" t="s">
        <v>839</v>
      </c>
      <c r="C1070" s="68">
        <v>141.75</v>
      </c>
      <c r="D1070" s="68">
        <v>63.787500000000001</v>
      </c>
      <c r="E1070" s="69" t="s">
        <v>8</v>
      </c>
      <c r="F1070" s="68"/>
      <c r="G1070" s="70">
        <v>44652</v>
      </c>
      <c r="H1070" s="71">
        <v>44926</v>
      </c>
    </row>
    <row r="1071" spans="1:8" x14ac:dyDescent="0.2">
      <c r="A1071" s="32" t="s">
        <v>1186</v>
      </c>
      <c r="B1071" s="27" t="s">
        <v>835</v>
      </c>
      <c r="C1071" s="68">
        <v>419.30700000000002</v>
      </c>
      <c r="D1071" s="68">
        <v>188.68815000000001</v>
      </c>
      <c r="E1071" s="69" t="s">
        <v>8</v>
      </c>
      <c r="F1071" s="68"/>
      <c r="G1071" s="70">
        <v>44652</v>
      </c>
      <c r="H1071" s="71">
        <v>44926</v>
      </c>
    </row>
    <row r="1072" spans="1:8" x14ac:dyDescent="0.2">
      <c r="A1072" s="32" t="s">
        <v>1172</v>
      </c>
      <c r="B1072" s="27" t="s">
        <v>857</v>
      </c>
      <c r="C1072" s="68">
        <v>506.80350000000004</v>
      </c>
      <c r="D1072" s="68">
        <v>228.06157500000003</v>
      </c>
      <c r="E1072" s="69" t="s">
        <v>8</v>
      </c>
      <c r="F1072" s="68"/>
      <c r="G1072" s="70">
        <v>44652</v>
      </c>
      <c r="H1072" s="71">
        <v>44926</v>
      </c>
    </row>
    <row r="1073" spans="1:8" x14ac:dyDescent="0.2">
      <c r="A1073" s="32" t="s">
        <v>1180</v>
      </c>
      <c r="B1073" s="27" t="s">
        <v>1181</v>
      </c>
      <c r="C1073" s="68">
        <v>293.69549999999998</v>
      </c>
      <c r="D1073" s="68">
        <v>132.16297499999999</v>
      </c>
      <c r="E1073" s="69" t="s">
        <v>8</v>
      </c>
      <c r="F1073" s="68"/>
      <c r="G1073" s="70">
        <v>44652</v>
      </c>
      <c r="H1073" s="71">
        <v>44926</v>
      </c>
    </row>
    <row r="1074" spans="1:8" x14ac:dyDescent="0.2">
      <c r="A1074" s="32" t="s">
        <v>1123</v>
      </c>
      <c r="B1074" s="27" t="s">
        <v>1120</v>
      </c>
      <c r="C1074" s="68">
        <v>609.91999999999996</v>
      </c>
      <c r="D1074" s="68">
        <v>274.464</v>
      </c>
      <c r="E1074" s="69" t="s">
        <v>8</v>
      </c>
      <c r="F1074" s="68"/>
      <c r="G1074" s="70">
        <v>44652</v>
      </c>
      <c r="H1074" s="71">
        <v>44926</v>
      </c>
    </row>
    <row r="1075" spans="1:8" x14ac:dyDescent="0.2">
      <c r="A1075" s="32" t="s">
        <v>1196</v>
      </c>
      <c r="B1075" s="27" t="s">
        <v>1197</v>
      </c>
      <c r="C1075" s="68">
        <v>412.54500000000002</v>
      </c>
      <c r="D1075" s="68">
        <v>185.64525</v>
      </c>
      <c r="E1075" s="69" t="s">
        <v>8</v>
      </c>
      <c r="F1075" s="68"/>
      <c r="G1075" s="70">
        <v>44652</v>
      </c>
      <c r="H1075" s="71">
        <v>44926</v>
      </c>
    </row>
    <row r="1076" spans="1:8" x14ac:dyDescent="0.2">
      <c r="A1076" s="32" t="s">
        <v>840</v>
      </c>
      <c r="B1076" s="27" t="s">
        <v>835</v>
      </c>
      <c r="C1076" s="68">
        <v>546.9135</v>
      </c>
      <c r="D1076" s="68">
        <v>246.111075</v>
      </c>
      <c r="E1076" s="69" t="s">
        <v>8</v>
      </c>
      <c r="F1076" s="68"/>
      <c r="G1076" s="70">
        <v>44652</v>
      </c>
      <c r="H1076" s="71">
        <v>44926</v>
      </c>
    </row>
    <row r="1077" spans="1:8" x14ac:dyDescent="0.2">
      <c r="A1077" s="32" t="s">
        <v>841</v>
      </c>
      <c r="B1077" s="27" t="s">
        <v>837</v>
      </c>
      <c r="C1077" s="68">
        <v>613.67250000000013</v>
      </c>
      <c r="D1077" s="68">
        <v>276.15262500000006</v>
      </c>
      <c r="E1077" s="69" t="s">
        <v>8</v>
      </c>
      <c r="F1077" s="68"/>
      <c r="G1077" s="70">
        <v>44652</v>
      </c>
      <c r="H1077" s="71">
        <v>44926</v>
      </c>
    </row>
    <row r="1078" spans="1:8" x14ac:dyDescent="0.2">
      <c r="A1078" s="32" t="s">
        <v>1119</v>
      </c>
      <c r="B1078" s="27" t="s">
        <v>1120</v>
      </c>
      <c r="C1078" s="68">
        <v>651.37</v>
      </c>
      <c r="D1078" s="68">
        <v>293.11650000000003</v>
      </c>
      <c r="E1078" s="69" t="s">
        <v>8</v>
      </c>
      <c r="F1078" s="68"/>
      <c r="G1078" s="70">
        <v>44652</v>
      </c>
      <c r="H1078" s="71">
        <v>44926</v>
      </c>
    </row>
    <row r="1079" spans="1:8" x14ac:dyDescent="0.2">
      <c r="A1079" s="32" t="s">
        <v>1192</v>
      </c>
      <c r="B1079" s="27" t="s">
        <v>835</v>
      </c>
      <c r="C1079" s="68">
        <v>321.69900000000001</v>
      </c>
      <c r="D1079" s="68">
        <v>144.76455000000001</v>
      </c>
      <c r="E1079" s="69" t="s">
        <v>8</v>
      </c>
      <c r="F1079" s="68"/>
      <c r="G1079" s="70">
        <v>44652</v>
      </c>
      <c r="H1079" s="71">
        <v>44926</v>
      </c>
    </row>
    <row r="1080" spans="1:8" x14ac:dyDescent="0.2">
      <c r="A1080" s="32" t="s">
        <v>1182</v>
      </c>
      <c r="B1080" s="27" t="s">
        <v>1183</v>
      </c>
      <c r="C1080" s="68">
        <v>475.923</v>
      </c>
      <c r="D1080" s="68">
        <v>214.16535000000002</v>
      </c>
      <c r="E1080" s="69" t="s">
        <v>8</v>
      </c>
      <c r="F1080" s="68"/>
      <c r="G1080" s="70">
        <v>44652</v>
      </c>
      <c r="H1080" s="71">
        <v>44926</v>
      </c>
    </row>
    <row r="1081" spans="1:8" x14ac:dyDescent="0.2">
      <c r="A1081" s="32" t="s">
        <v>842</v>
      </c>
      <c r="B1081" s="27" t="s">
        <v>843</v>
      </c>
      <c r="C1081" s="68">
        <v>359.97149999999999</v>
      </c>
      <c r="D1081" s="68">
        <v>161.98717500000001</v>
      </c>
      <c r="E1081" s="69" t="s">
        <v>8</v>
      </c>
      <c r="F1081" s="68"/>
      <c r="G1081" s="70">
        <v>44652</v>
      </c>
      <c r="H1081" s="71">
        <v>44926</v>
      </c>
    </row>
    <row r="1082" spans="1:8" x14ac:dyDescent="0.2">
      <c r="A1082" s="32" t="s">
        <v>1190</v>
      </c>
      <c r="B1082" s="27" t="s">
        <v>1191</v>
      </c>
      <c r="C1082" s="68">
        <v>419.4855</v>
      </c>
      <c r="D1082" s="68">
        <v>188.768475</v>
      </c>
      <c r="E1082" s="69" t="s">
        <v>8</v>
      </c>
      <c r="F1082" s="68"/>
      <c r="G1082" s="70">
        <v>44652</v>
      </c>
      <c r="H1082" s="71">
        <v>44926</v>
      </c>
    </row>
    <row r="1083" spans="1:8" x14ac:dyDescent="0.2">
      <c r="A1083" s="32" t="s">
        <v>1171</v>
      </c>
      <c r="B1083" s="27" t="s">
        <v>1149</v>
      </c>
      <c r="C1083" s="68">
        <v>336.65100000000001</v>
      </c>
      <c r="D1083" s="68">
        <v>151.49295000000001</v>
      </c>
      <c r="E1083" s="69" t="s">
        <v>8</v>
      </c>
      <c r="F1083" s="68"/>
      <c r="G1083" s="70">
        <v>44652</v>
      </c>
      <c r="H1083" s="71">
        <v>44926</v>
      </c>
    </row>
    <row r="1084" spans="1:8" x14ac:dyDescent="0.2">
      <c r="A1084" s="32" t="s">
        <v>844</v>
      </c>
      <c r="B1084" s="27" t="s">
        <v>845</v>
      </c>
      <c r="C1084" s="68">
        <v>131.90100000000001</v>
      </c>
      <c r="D1084" s="68">
        <v>59.355450000000005</v>
      </c>
      <c r="E1084" s="69" t="s">
        <v>8</v>
      </c>
      <c r="F1084" s="68"/>
      <c r="G1084" s="70">
        <v>44652</v>
      </c>
      <c r="H1084" s="71">
        <v>44926</v>
      </c>
    </row>
    <row r="1085" spans="1:8" x14ac:dyDescent="0.2">
      <c r="A1085" s="32" t="s">
        <v>846</v>
      </c>
      <c r="B1085" s="27" t="s">
        <v>832</v>
      </c>
      <c r="C1085" s="68">
        <v>409.3845</v>
      </c>
      <c r="D1085" s="68">
        <v>184.22302500000001</v>
      </c>
      <c r="E1085" s="69" t="s">
        <v>8</v>
      </c>
      <c r="F1085" s="68"/>
      <c r="G1085" s="70">
        <v>44652</v>
      </c>
      <c r="H1085" s="71">
        <v>44926</v>
      </c>
    </row>
    <row r="1086" spans="1:8" x14ac:dyDescent="0.2">
      <c r="A1086" s="32" t="s">
        <v>1114</v>
      </c>
      <c r="B1086" s="27" t="s">
        <v>853</v>
      </c>
      <c r="C1086" s="68">
        <v>170.12100000000001</v>
      </c>
      <c r="D1086" s="68">
        <v>76.554450000000003</v>
      </c>
      <c r="E1086" s="69"/>
      <c r="F1086" s="68"/>
      <c r="G1086" s="70">
        <v>44652</v>
      </c>
      <c r="H1086" s="71">
        <v>44926</v>
      </c>
    </row>
    <row r="1087" spans="1:8" x14ac:dyDescent="0.2">
      <c r="A1087" s="32" t="s">
        <v>847</v>
      </c>
      <c r="B1087" s="27" t="s">
        <v>832</v>
      </c>
      <c r="C1087" s="68">
        <v>364.39200000000005</v>
      </c>
      <c r="D1087" s="68">
        <v>163.97640000000004</v>
      </c>
      <c r="E1087" s="69" t="s">
        <v>8</v>
      </c>
      <c r="F1087" s="68"/>
      <c r="G1087" s="70">
        <v>44652</v>
      </c>
      <c r="H1087" s="71">
        <v>44926</v>
      </c>
    </row>
    <row r="1088" spans="1:8" x14ac:dyDescent="0.2">
      <c r="A1088" s="32" t="s">
        <v>848</v>
      </c>
      <c r="B1088" s="27" t="s">
        <v>849</v>
      </c>
      <c r="C1088" s="68">
        <v>463.21800000000002</v>
      </c>
      <c r="D1088" s="68">
        <v>208.44810000000001</v>
      </c>
      <c r="E1088" s="69" t="s">
        <v>8</v>
      </c>
      <c r="F1088" s="68"/>
      <c r="G1088" s="70">
        <v>44652</v>
      </c>
      <c r="H1088" s="71">
        <v>44926</v>
      </c>
    </row>
    <row r="1089" spans="1:8" x14ac:dyDescent="0.2">
      <c r="A1089" s="32" t="s">
        <v>850</v>
      </c>
      <c r="B1089" s="27" t="s">
        <v>851</v>
      </c>
      <c r="C1089" s="68">
        <v>456.64499999999998</v>
      </c>
      <c r="D1089" s="68">
        <v>205.49025</v>
      </c>
      <c r="E1089" s="69" t="s">
        <v>8</v>
      </c>
      <c r="F1089" s="68"/>
      <c r="G1089" s="70">
        <v>44652</v>
      </c>
      <c r="H1089" s="71">
        <v>44926</v>
      </c>
    </row>
    <row r="1090" spans="1:8" x14ac:dyDescent="0.2">
      <c r="A1090" s="32" t="s">
        <v>1176</v>
      </c>
      <c r="B1090" s="27" t="s">
        <v>1177</v>
      </c>
      <c r="C1090" s="68">
        <v>624.67649999999992</v>
      </c>
      <c r="D1090" s="68">
        <v>281.10442499999999</v>
      </c>
      <c r="E1090" s="69" t="s">
        <v>8</v>
      </c>
      <c r="F1090" s="68"/>
      <c r="G1090" s="70">
        <v>44652</v>
      </c>
      <c r="H1090" s="71">
        <v>44926</v>
      </c>
    </row>
    <row r="1091" spans="1:8" x14ac:dyDescent="0.2">
      <c r="A1091" s="32" t="s">
        <v>852</v>
      </c>
      <c r="B1091" s="27" t="s">
        <v>853</v>
      </c>
      <c r="C1091" s="68">
        <v>141.75</v>
      </c>
      <c r="D1091" s="68">
        <v>63.787500000000001</v>
      </c>
      <c r="E1091" s="69" t="s">
        <v>8</v>
      </c>
      <c r="F1091" s="68"/>
      <c r="G1091" s="70">
        <v>44652</v>
      </c>
      <c r="H1091" s="71">
        <v>44926</v>
      </c>
    </row>
    <row r="1092" spans="1:8" x14ac:dyDescent="0.2">
      <c r="A1092" s="32" t="s">
        <v>1185</v>
      </c>
      <c r="B1092" s="27" t="s">
        <v>849</v>
      </c>
      <c r="C1092" s="68">
        <v>419.30700000000002</v>
      </c>
      <c r="D1092" s="68">
        <v>188.68815000000001</v>
      </c>
      <c r="E1092" s="69" t="s">
        <v>8</v>
      </c>
      <c r="F1092" s="68"/>
      <c r="G1092" s="70">
        <v>44652</v>
      </c>
      <c r="H1092" s="71">
        <v>44926</v>
      </c>
    </row>
    <row r="1093" spans="1:8" x14ac:dyDescent="0.2">
      <c r="A1093" s="32" t="s">
        <v>1173</v>
      </c>
      <c r="B1093" s="27" t="s">
        <v>859</v>
      </c>
      <c r="C1093" s="68">
        <v>506.80350000000004</v>
      </c>
      <c r="D1093" s="68">
        <v>228.06157500000003</v>
      </c>
      <c r="E1093" s="69" t="s">
        <v>8</v>
      </c>
      <c r="F1093" s="68"/>
      <c r="G1093" s="70">
        <v>44652</v>
      </c>
      <c r="H1093" s="71">
        <v>44926</v>
      </c>
    </row>
    <row r="1094" spans="1:8" x14ac:dyDescent="0.2">
      <c r="A1094" s="32" t="s">
        <v>1161</v>
      </c>
      <c r="B1094" s="27" t="s">
        <v>1122</v>
      </c>
      <c r="C1094" s="68">
        <v>630</v>
      </c>
      <c r="D1094" s="68">
        <v>283.5</v>
      </c>
      <c r="E1094" s="69" t="s">
        <v>8</v>
      </c>
      <c r="F1094" s="68"/>
      <c r="G1094" s="70">
        <v>44652</v>
      </c>
      <c r="H1094" s="71">
        <v>44926</v>
      </c>
    </row>
    <row r="1095" spans="1:8" x14ac:dyDescent="0.2">
      <c r="A1095" s="32" t="s">
        <v>1193</v>
      </c>
      <c r="B1095" s="27" t="s">
        <v>1194</v>
      </c>
      <c r="C1095" s="68">
        <v>399.76650000000001</v>
      </c>
      <c r="D1095" s="68">
        <v>179.894925</v>
      </c>
      <c r="E1095" s="69" t="s">
        <v>8</v>
      </c>
      <c r="F1095" s="68"/>
      <c r="G1095" s="70">
        <v>44652</v>
      </c>
      <c r="H1095" s="71">
        <v>44926</v>
      </c>
    </row>
    <row r="1096" spans="1:8" x14ac:dyDescent="0.2">
      <c r="A1096" s="32" t="s">
        <v>854</v>
      </c>
      <c r="B1096" s="27" t="s">
        <v>849</v>
      </c>
      <c r="C1096" s="68">
        <v>546.9135</v>
      </c>
      <c r="D1096" s="68">
        <v>246.111075</v>
      </c>
      <c r="E1096" s="69" t="s">
        <v>8</v>
      </c>
      <c r="F1096" s="68"/>
      <c r="G1096" s="70">
        <v>44652</v>
      </c>
      <c r="H1096" s="71">
        <v>44926</v>
      </c>
    </row>
    <row r="1097" spans="1:8" x14ac:dyDescent="0.2">
      <c r="A1097" s="32" t="s">
        <v>855</v>
      </c>
      <c r="B1097" s="27" t="s">
        <v>851</v>
      </c>
      <c r="C1097" s="68">
        <v>613.38900000000001</v>
      </c>
      <c r="D1097" s="68">
        <v>276.02505000000002</v>
      </c>
      <c r="E1097" s="69" t="s">
        <v>8</v>
      </c>
      <c r="F1097" s="68"/>
      <c r="G1097" s="70">
        <v>44652</v>
      </c>
      <c r="H1097" s="71">
        <v>44926</v>
      </c>
    </row>
    <row r="1098" spans="1:8" x14ac:dyDescent="0.2">
      <c r="A1098" s="32" t="s">
        <v>1121</v>
      </c>
      <c r="B1098" s="27" t="s">
        <v>1122</v>
      </c>
      <c r="C1098" s="68">
        <v>547.4</v>
      </c>
      <c r="D1098" s="68">
        <v>246.32999999999998</v>
      </c>
      <c r="E1098" s="69" t="s">
        <v>8</v>
      </c>
      <c r="F1098" s="68"/>
      <c r="G1098" s="70">
        <v>44652</v>
      </c>
      <c r="H1098" s="71">
        <v>44926</v>
      </c>
    </row>
    <row r="1099" spans="1:8" x14ac:dyDescent="0.2">
      <c r="A1099" s="32" t="s">
        <v>1117</v>
      </c>
      <c r="B1099" s="27" t="s">
        <v>1118</v>
      </c>
      <c r="C1099" s="68">
        <v>577.20000000000005</v>
      </c>
      <c r="D1099" s="68">
        <v>259.74</v>
      </c>
      <c r="E1099" s="69" t="s">
        <v>8</v>
      </c>
      <c r="F1099" s="68"/>
      <c r="G1099" s="70">
        <v>44652</v>
      </c>
      <c r="H1099" s="71">
        <v>44926</v>
      </c>
    </row>
    <row r="1100" spans="1:8" x14ac:dyDescent="0.2">
      <c r="A1100" s="32" t="s">
        <v>1184</v>
      </c>
      <c r="B1100" s="27" t="s">
        <v>849</v>
      </c>
      <c r="C1100" s="68">
        <v>321.69900000000001</v>
      </c>
      <c r="D1100" s="68">
        <v>144.76455000000001</v>
      </c>
      <c r="E1100" s="69" t="s">
        <v>8</v>
      </c>
      <c r="F1100" s="68"/>
      <c r="G1100" s="70">
        <v>44652</v>
      </c>
      <c r="H1100" s="71">
        <v>44926</v>
      </c>
    </row>
    <row r="1101" spans="1:8" x14ac:dyDescent="0.2">
      <c r="A1101" s="32" t="s">
        <v>1152</v>
      </c>
      <c r="B1101" s="27" t="s">
        <v>1113</v>
      </c>
      <c r="C1101" s="68">
        <v>640</v>
      </c>
      <c r="D1101" s="68">
        <v>288</v>
      </c>
      <c r="E1101" s="69" t="s">
        <v>8</v>
      </c>
      <c r="F1101" s="68"/>
      <c r="G1101" s="70">
        <v>44652</v>
      </c>
      <c r="H1101" s="71">
        <v>44926</v>
      </c>
    </row>
    <row r="1102" spans="1:8" x14ac:dyDescent="0.2">
      <c r="A1102" s="32" t="s">
        <v>1112</v>
      </c>
      <c r="B1102" s="27" t="s">
        <v>1113</v>
      </c>
      <c r="C1102" s="68">
        <v>450</v>
      </c>
      <c r="D1102" s="68">
        <v>202.5</v>
      </c>
      <c r="E1102" s="69"/>
      <c r="F1102" s="68"/>
      <c r="G1102" s="70">
        <v>44652</v>
      </c>
      <c r="H1102" s="71">
        <v>44926</v>
      </c>
    </row>
    <row r="1103" spans="1:8" x14ac:dyDescent="0.2">
      <c r="A1103" s="32" t="s">
        <v>856</v>
      </c>
      <c r="B1103" s="27" t="s">
        <v>857</v>
      </c>
      <c r="C1103" s="68">
        <v>813.97050000000013</v>
      </c>
      <c r="D1103" s="68">
        <v>366.28672500000005</v>
      </c>
      <c r="E1103" s="69" t="s">
        <v>8</v>
      </c>
      <c r="F1103" s="68"/>
      <c r="G1103" s="70">
        <v>44652</v>
      </c>
      <c r="H1103" s="71">
        <v>44926</v>
      </c>
    </row>
    <row r="1104" spans="1:8" x14ac:dyDescent="0.2">
      <c r="A1104" s="32" t="s">
        <v>1148</v>
      </c>
      <c r="B1104" s="27" t="s">
        <v>1149</v>
      </c>
      <c r="C1104" s="68">
        <v>570</v>
      </c>
      <c r="D1104" s="68">
        <v>256.5</v>
      </c>
      <c r="E1104" s="69" t="s">
        <v>8</v>
      </c>
      <c r="F1104" s="68"/>
      <c r="G1104" s="70">
        <v>44652</v>
      </c>
      <c r="H1104" s="71">
        <v>44926</v>
      </c>
    </row>
    <row r="1105" spans="1:8" x14ac:dyDescent="0.2">
      <c r="A1105" s="32" t="s">
        <v>858</v>
      </c>
      <c r="B1105" s="27" t="s">
        <v>859</v>
      </c>
      <c r="C1105" s="68">
        <v>814.63200000000006</v>
      </c>
      <c r="D1105" s="68">
        <v>366.58440000000002</v>
      </c>
      <c r="E1105" s="69" t="s">
        <v>8</v>
      </c>
      <c r="F1105" s="68"/>
      <c r="G1105" s="70">
        <v>44652</v>
      </c>
      <c r="H1105" s="71">
        <v>44926</v>
      </c>
    </row>
    <row r="1106" spans="1:8" x14ac:dyDescent="0.2">
      <c r="A1106" s="32" t="s">
        <v>860</v>
      </c>
      <c r="B1106" s="27" t="s">
        <v>861</v>
      </c>
      <c r="C1106" s="68">
        <v>93.995999999999995</v>
      </c>
      <c r="D1106" s="68">
        <v>42.298200000000001</v>
      </c>
      <c r="E1106" s="69" t="s">
        <v>8</v>
      </c>
      <c r="F1106" s="68">
        <v>39.337326000000004</v>
      </c>
      <c r="G1106" s="70">
        <v>44652</v>
      </c>
      <c r="H1106" s="71">
        <v>44926</v>
      </c>
    </row>
    <row r="1107" spans="1:8" x14ac:dyDescent="0.2">
      <c r="A1107" s="32" t="s">
        <v>862</v>
      </c>
      <c r="B1107" s="27" t="s">
        <v>863</v>
      </c>
      <c r="C1107" s="68">
        <v>91.255499999999998</v>
      </c>
      <c r="D1107" s="68">
        <v>41.064974999999997</v>
      </c>
      <c r="E1107" s="69" t="s">
        <v>954</v>
      </c>
      <c r="F1107" s="68">
        <v>38.19042675</v>
      </c>
      <c r="G1107" s="70">
        <v>44652</v>
      </c>
      <c r="H1107" s="71">
        <v>44926</v>
      </c>
    </row>
    <row r="1108" spans="1:8" x14ac:dyDescent="0.2">
      <c r="A1108" s="32" t="s">
        <v>864</v>
      </c>
      <c r="B1108" s="27" t="s">
        <v>865</v>
      </c>
      <c r="C1108" s="68">
        <v>84</v>
      </c>
      <c r="D1108" s="68">
        <v>37.800000000000004</v>
      </c>
      <c r="E1108" s="69" t="s">
        <v>954</v>
      </c>
      <c r="F1108" s="68">
        <v>35.154000000000003</v>
      </c>
      <c r="G1108" s="70">
        <v>44652</v>
      </c>
      <c r="H1108" s="71">
        <v>44926</v>
      </c>
    </row>
    <row r="1109" spans="1:8" x14ac:dyDescent="0.2">
      <c r="A1109" s="32" t="s">
        <v>1352</v>
      </c>
      <c r="B1109" s="27" t="s">
        <v>1353</v>
      </c>
      <c r="C1109" s="68">
        <v>70.633499999999998</v>
      </c>
      <c r="D1109" s="68">
        <v>31.785074999999999</v>
      </c>
      <c r="E1109" s="69" t="s">
        <v>954</v>
      </c>
      <c r="F1109" s="68">
        <v>29.560119750000002</v>
      </c>
      <c r="G1109" s="70">
        <v>44652</v>
      </c>
      <c r="H1109" s="71">
        <v>44926</v>
      </c>
    </row>
    <row r="1110" spans="1:8" x14ac:dyDescent="0.2">
      <c r="A1110" s="32" t="s">
        <v>1165</v>
      </c>
      <c r="B1110" s="27" t="s">
        <v>1166</v>
      </c>
      <c r="C1110" s="68">
        <v>677.22900000000004</v>
      </c>
      <c r="D1110" s="68">
        <v>304.75305000000003</v>
      </c>
      <c r="E1110" s="69" t="s">
        <v>8</v>
      </c>
      <c r="F1110" s="68"/>
      <c r="G1110" s="70">
        <v>44652</v>
      </c>
      <c r="H1110" s="71">
        <v>44926</v>
      </c>
    </row>
    <row r="1111" spans="1:8" x14ac:dyDescent="0.2">
      <c r="A1111" s="32" t="s">
        <v>1167</v>
      </c>
      <c r="B1111" s="27" t="s">
        <v>1168</v>
      </c>
      <c r="C1111" s="68">
        <v>677.22900000000004</v>
      </c>
      <c r="D1111" s="68">
        <v>304.75305000000003</v>
      </c>
      <c r="E1111" s="69" t="s">
        <v>8</v>
      </c>
      <c r="F1111" s="68"/>
      <c r="G1111" s="70">
        <v>44652</v>
      </c>
      <c r="H1111" s="71">
        <v>44926</v>
      </c>
    </row>
    <row r="1112" spans="1:8" x14ac:dyDescent="0.2">
      <c r="A1112" s="32" t="s">
        <v>1261</v>
      </c>
      <c r="B1112" s="27" t="s">
        <v>1262</v>
      </c>
      <c r="C1112" s="68">
        <v>51</v>
      </c>
      <c r="D1112" s="68">
        <v>22.95</v>
      </c>
      <c r="E1112" s="69" t="s">
        <v>954</v>
      </c>
      <c r="F1112" s="68">
        <v>21.343499999999999</v>
      </c>
      <c r="G1112" s="70">
        <v>44652</v>
      </c>
      <c r="H1112" s="71">
        <v>44926</v>
      </c>
    </row>
    <row r="1113" spans="1:8" x14ac:dyDescent="0.2">
      <c r="A1113" s="32" t="s">
        <v>866</v>
      </c>
      <c r="B1113" s="27" t="s">
        <v>867</v>
      </c>
      <c r="C1113" s="68">
        <v>61.120500000000007</v>
      </c>
      <c r="D1113" s="68">
        <v>27.504225000000005</v>
      </c>
      <c r="E1113" s="69" t="s">
        <v>954</v>
      </c>
      <c r="F1113" s="68">
        <v>25.578929250000005</v>
      </c>
      <c r="G1113" s="70">
        <v>44652</v>
      </c>
      <c r="H1113" s="71">
        <v>44926</v>
      </c>
    </row>
    <row r="1114" spans="1:8" x14ac:dyDescent="0.2">
      <c r="A1114" s="32" t="s">
        <v>868</v>
      </c>
      <c r="B1114" s="27" t="s">
        <v>869</v>
      </c>
      <c r="C1114" s="68">
        <v>48</v>
      </c>
      <c r="D1114" s="68">
        <v>21.6</v>
      </c>
      <c r="E1114" s="69" t="s">
        <v>954</v>
      </c>
      <c r="F1114" s="68">
        <v>20.088000000000001</v>
      </c>
      <c r="G1114" s="70">
        <v>44652</v>
      </c>
      <c r="H1114" s="71">
        <v>44926</v>
      </c>
    </row>
    <row r="1115" spans="1:8" x14ac:dyDescent="0.2">
      <c r="A1115" s="32" t="s">
        <v>870</v>
      </c>
      <c r="B1115" s="27" t="s">
        <v>871</v>
      </c>
      <c r="C1115" s="68">
        <v>66.192000000000007</v>
      </c>
      <c r="D1115" s="68">
        <v>29.786400000000004</v>
      </c>
      <c r="E1115" s="69" t="s">
        <v>954</v>
      </c>
      <c r="F1115" s="68">
        <v>27.701352000000004</v>
      </c>
      <c r="G1115" s="70">
        <v>44652</v>
      </c>
      <c r="H1115" s="71">
        <v>44926</v>
      </c>
    </row>
    <row r="1116" spans="1:8" x14ac:dyDescent="0.2">
      <c r="A1116" s="32" t="s">
        <v>872</v>
      </c>
      <c r="B1116" s="27" t="s">
        <v>873</v>
      </c>
      <c r="C1116" s="68">
        <v>47.5</v>
      </c>
      <c r="D1116" s="68">
        <v>21.375</v>
      </c>
      <c r="E1116" s="69" t="s">
        <v>954</v>
      </c>
      <c r="F1116" s="68">
        <v>19.87875</v>
      </c>
      <c r="G1116" s="70">
        <v>44652</v>
      </c>
      <c r="H1116" s="71">
        <v>44926</v>
      </c>
    </row>
    <row r="1117" spans="1:8" x14ac:dyDescent="0.2">
      <c r="A1117" s="32" t="s">
        <v>874</v>
      </c>
      <c r="B1117" s="27" t="s">
        <v>875</v>
      </c>
      <c r="C1117" s="68">
        <v>67.808999999999997</v>
      </c>
      <c r="D1117" s="68">
        <v>30.514050000000001</v>
      </c>
      <c r="E1117" s="69" t="s">
        <v>8</v>
      </c>
      <c r="F1117" s="68"/>
      <c r="G1117" s="70">
        <v>44652</v>
      </c>
      <c r="H1117" s="71">
        <v>44926</v>
      </c>
    </row>
    <row r="1118" spans="1:8" x14ac:dyDescent="0.2">
      <c r="A1118" s="32" t="s">
        <v>876</v>
      </c>
      <c r="B1118" s="27" t="s">
        <v>875</v>
      </c>
      <c r="C1118" s="68">
        <v>49.5</v>
      </c>
      <c r="D1118" s="68">
        <v>22.275000000000002</v>
      </c>
      <c r="E1118" s="69" t="s">
        <v>8</v>
      </c>
      <c r="F1118" s="68"/>
      <c r="G1118" s="70">
        <v>44652</v>
      </c>
      <c r="H1118" s="71">
        <v>44926</v>
      </c>
    </row>
    <row r="1119" spans="1:8" x14ac:dyDescent="0.2">
      <c r="A1119" s="32" t="s">
        <v>877</v>
      </c>
      <c r="B1119" s="27" t="s">
        <v>878</v>
      </c>
      <c r="C1119" s="68">
        <v>106.29150000000001</v>
      </c>
      <c r="D1119" s="68">
        <v>47.831175000000009</v>
      </c>
      <c r="E1119" s="69" t="s">
        <v>954</v>
      </c>
      <c r="F1119" s="68">
        <v>44.482992750000008</v>
      </c>
      <c r="G1119" s="70">
        <v>44652</v>
      </c>
      <c r="H1119" s="71">
        <v>44926</v>
      </c>
    </row>
    <row r="1120" spans="1:8" x14ac:dyDescent="0.2">
      <c r="A1120" s="32" t="s">
        <v>879</v>
      </c>
      <c r="B1120" s="27" t="s">
        <v>880</v>
      </c>
      <c r="C1120" s="68">
        <v>27.6</v>
      </c>
      <c r="D1120" s="68">
        <v>12.420000000000002</v>
      </c>
      <c r="E1120" s="69" t="s">
        <v>954</v>
      </c>
      <c r="F1120" s="68">
        <v>11.550600000000003</v>
      </c>
      <c r="G1120" s="70">
        <v>44652</v>
      </c>
      <c r="H1120" s="71">
        <v>44926</v>
      </c>
    </row>
    <row r="1121" spans="1:8" x14ac:dyDescent="0.2">
      <c r="A1121" s="32" t="s">
        <v>881</v>
      </c>
      <c r="B1121" s="27" t="s">
        <v>882</v>
      </c>
      <c r="C1121" s="68">
        <v>28.53</v>
      </c>
      <c r="D1121" s="68">
        <v>12.838500000000002</v>
      </c>
      <c r="E1121" s="69" t="s">
        <v>954</v>
      </c>
      <c r="F1121" s="68">
        <v>11.939805000000002</v>
      </c>
      <c r="G1121" s="70">
        <v>44652</v>
      </c>
      <c r="H1121" s="71">
        <v>44926</v>
      </c>
    </row>
    <row r="1122" spans="1:8" x14ac:dyDescent="0.2">
      <c r="A1122" s="32" t="s">
        <v>1058</v>
      </c>
      <c r="B1122" s="27" t="s">
        <v>1059</v>
      </c>
      <c r="C1122" s="68">
        <v>76.150000000000006</v>
      </c>
      <c r="D1122" s="68">
        <v>34.267500000000005</v>
      </c>
      <c r="E1122" s="69" t="s">
        <v>954</v>
      </c>
      <c r="F1122" s="68">
        <v>31.868775000000007</v>
      </c>
      <c r="G1122" s="70">
        <v>44652</v>
      </c>
      <c r="H1122" s="71">
        <v>44926</v>
      </c>
    </row>
    <row r="1123" spans="1:8" x14ac:dyDescent="0.2">
      <c r="A1123" s="32" t="s">
        <v>1275</v>
      </c>
      <c r="B1123" s="27" t="s">
        <v>1276</v>
      </c>
      <c r="C1123" s="68">
        <v>157.65</v>
      </c>
      <c r="D1123" s="68">
        <v>70.94250000000001</v>
      </c>
      <c r="E1123" s="69"/>
      <c r="F1123" s="68">
        <v>65.976525000000009</v>
      </c>
      <c r="G1123" s="70">
        <v>44652</v>
      </c>
      <c r="H1123" s="71">
        <v>44926</v>
      </c>
    </row>
    <row r="1124" spans="1:8" x14ac:dyDescent="0.2">
      <c r="A1124" s="32" t="s">
        <v>883</v>
      </c>
      <c r="B1124" s="27" t="s">
        <v>884</v>
      </c>
      <c r="C1124" s="68">
        <v>71.86</v>
      </c>
      <c r="D1124" s="68">
        <v>32.337000000000003</v>
      </c>
      <c r="E1124" s="69" t="s">
        <v>954</v>
      </c>
      <c r="F1124" s="68">
        <v>30.073410000000006</v>
      </c>
      <c r="G1124" s="70">
        <v>44652</v>
      </c>
      <c r="H1124" s="71">
        <v>44926</v>
      </c>
    </row>
    <row r="1125" spans="1:8" x14ac:dyDescent="0.2">
      <c r="A1125" s="32" t="s">
        <v>1063</v>
      </c>
      <c r="B1125" s="27" t="s">
        <v>888</v>
      </c>
      <c r="C1125" s="68">
        <v>108</v>
      </c>
      <c r="D1125" s="68">
        <v>48.6</v>
      </c>
      <c r="E1125" s="69" t="s">
        <v>954</v>
      </c>
      <c r="F1125" s="68">
        <v>45.198</v>
      </c>
      <c r="G1125" s="70">
        <v>44652</v>
      </c>
      <c r="H1125" s="71">
        <v>44926</v>
      </c>
    </row>
    <row r="1126" spans="1:8" x14ac:dyDescent="0.2">
      <c r="A1126" s="32" t="s">
        <v>885</v>
      </c>
      <c r="B1126" s="27" t="s">
        <v>884</v>
      </c>
      <c r="C1126" s="68">
        <v>71.150000000000006</v>
      </c>
      <c r="D1126" s="68">
        <v>32.017500000000005</v>
      </c>
      <c r="E1126" s="69" t="s">
        <v>954</v>
      </c>
      <c r="F1126" s="68">
        <v>29.776275000000005</v>
      </c>
      <c r="G1126" s="70">
        <v>44652</v>
      </c>
      <c r="H1126" s="71">
        <v>44926</v>
      </c>
    </row>
    <row r="1127" spans="1:8" x14ac:dyDescent="0.2">
      <c r="A1127" s="32" t="s">
        <v>886</v>
      </c>
      <c r="B1127" s="27" t="s">
        <v>884</v>
      </c>
      <c r="C1127" s="68">
        <v>74.349999999999994</v>
      </c>
      <c r="D1127" s="68">
        <v>33.457499999999996</v>
      </c>
      <c r="E1127" s="69" t="s">
        <v>954</v>
      </c>
      <c r="F1127" s="68">
        <v>31.115474999999996</v>
      </c>
      <c r="G1127" s="70">
        <v>44652</v>
      </c>
      <c r="H1127" s="71">
        <v>44926</v>
      </c>
    </row>
    <row r="1128" spans="1:8" x14ac:dyDescent="0.2">
      <c r="A1128" s="32" t="s">
        <v>887</v>
      </c>
      <c r="B1128" s="27" t="s">
        <v>888</v>
      </c>
      <c r="C1128" s="68">
        <v>119.75</v>
      </c>
      <c r="D1128" s="68">
        <v>53.887500000000003</v>
      </c>
      <c r="E1128" s="69" t="s">
        <v>954</v>
      </c>
      <c r="F1128" s="68">
        <v>50.115375000000007</v>
      </c>
      <c r="G1128" s="70">
        <v>44652</v>
      </c>
      <c r="H1128" s="71">
        <v>44926</v>
      </c>
    </row>
    <row r="1129" spans="1:8" x14ac:dyDescent="0.2">
      <c r="A1129" s="32" t="s">
        <v>1057</v>
      </c>
      <c r="B1129" s="27" t="s">
        <v>884</v>
      </c>
      <c r="C1129" s="68">
        <v>85.6</v>
      </c>
      <c r="D1129" s="68">
        <v>38.519999999999996</v>
      </c>
      <c r="E1129" s="69" t="s">
        <v>954</v>
      </c>
      <c r="F1129" s="68">
        <v>35.823599999999999</v>
      </c>
      <c r="G1129" s="70">
        <v>44652</v>
      </c>
      <c r="H1129" s="71">
        <v>44926</v>
      </c>
    </row>
    <row r="1130" spans="1:8" x14ac:dyDescent="0.2">
      <c r="A1130" s="32" t="s">
        <v>889</v>
      </c>
      <c r="B1130" s="27" t="s">
        <v>890</v>
      </c>
      <c r="C1130" s="68">
        <v>80.14</v>
      </c>
      <c r="D1130" s="68">
        <v>36.063000000000002</v>
      </c>
      <c r="E1130" s="69" t="s">
        <v>8</v>
      </c>
      <c r="F1130" s="68"/>
      <c r="G1130" s="70">
        <v>44652</v>
      </c>
      <c r="H1130" s="71">
        <v>44926</v>
      </c>
    </row>
    <row r="1131" spans="1:8" x14ac:dyDescent="0.2">
      <c r="A1131" s="32" t="s">
        <v>891</v>
      </c>
      <c r="B1131" s="27" t="s">
        <v>892</v>
      </c>
      <c r="C1131" s="68">
        <v>126</v>
      </c>
      <c r="D1131" s="68">
        <v>56.7</v>
      </c>
      <c r="E1131" s="69" t="s">
        <v>954</v>
      </c>
      <c r="F1131" s="68">
        <v>52.731000000000009</v>
      </c>
      <c r="G1131" s="70">
        <v>44652</v>
      </c>
      <c r="H1131" s="71">
        <v>44926</v>
      </c>
    </row>
    <row r="1132" spans="1:8" x14ac:dyDescent="0.2">
      <c r="A1132" s="32" t="s">
        <v>893</v>
      </c>
      <c r="B1132" s="27" t="s">
        <v>894</v>
      </c>
      <c r="C1132" s="68">
        <v>154</v>
      </c>
      <c r="D1132" s="68">
        <v>69.3</v>
      </c>
      <c r="E1132" s="69" t="s">
        <v>8</v>
      </c>
      <c r="F1132" s="68"/>
      <c r="G1132" s="70">
        <v>44652</v>
      </c>
      <c r="H1132" s="71">
        <v>44926</v>
      </c>
    </row>
    <row r="1133" spans="1:8" x14ac:dyDescent="0.2">
      <c r="A1133" s="32" t="s">
        <v>895</v>
      </c>
      <c r="B1133" s="27" t="s">
        <v>896</v>
      </c>
      <c r="C1133" s="68">
        <v>179</v>
      </c>
      <c r="D1133" s="68">
        <v>80.55</v>
      </c>
      <c r="E1133" s="69" t="s">
        <v>8</v>
      </c>
      <c r="F1133" s="68"/>
      <c r="G1133" s="70">
        <v>44652</v>
      </c>
      <c r="H1133" s="71">
        <v>44926</v>
      </c>
    </row>
    <row r="1134" spans="1:8" x14ac:dyDescent="0.2">
      <c r="A1134" s="32" t="s">
        <v>897</v>
      </c>
      <c r="B1134" s="27" t="s">
        <v>898</v>
      </c>
      <c r="C1134" s="68">
        <v>142</v>
      </c>
      <c r="D1134" s="68">
        <v>63.9</v>
      </c>
      <c r="E1134" s="69" t="s">
        <v>8</v>
      </c>
      <c r="F1134" s="68"/>
      <c r="G1134" s="70">
        <v>44652</v>
      </c>
      <c r="H1134" s="71">
        <v>44926</v>
      </c>
    </row>
    <row r="1135" spans="1:8" x14ac:dyDescent="0.2">
      <c r="A1135" s="32" t="s">
        <v>899</v>
      </c>
      <c r="B1135" s="27" t="s">
        <v>900</v>
      </c>
      <c r="C1135" s="68">
        <v>161.5</v>
      </c>
      <c r="D1135" s="68">
        <v>72.674999999999997</v>
      </c>
      <c r="E1135" s="69" t="s">
        <v>954</v>
      </c>
      <c r="F1135" s="68">
        <v>67.58775</v>
      </c>
      <c r="G1135" s="70">
        <v>44652</v>
      </c>
      <c r="H1135" s="71">
        <v>44926</v>
      </c>
    </row>
    <row r="1136" spans="1:8" x14ac:dyDescent="0.2">
      <c r="A1136" s="32" t="s">
        <v>1283</v>
      </c>
      <c r="B1136" s="27" t="s">
        <v>1284</v>
      </c>
      <c r="C1136" s="68">
        <v>192</v>
      </c>
      <c r="D1136" s="68">
        <v>86.4</v>
      </c>
      <c r="E1136" s="69" t="s">
        <v>8</v>
      </c>
      <c r="F1136" s="68"/>
      <c r="G1136" s="70">
        <v>44652</v>
      </c>
      <c r="H1136" s="71">
        <v>44926</v>
      </c>
    </row>
    <row r="1137" spans="1:8" x14ac:dyDescent="0.2">
      <c r="A1137" s="32" t="s">
        <v>1301</v>
      </c>
      <c r="B1137" s="27" t="s">
        <v>1302</v>
      </c>
      <c r="C1137" s="68">
        <v>187.85550000000001</v>
      </c>
      <c r="D1137" s="68">
        <v>84.534975000000003</v>
      </c>
      <c r="E1137" s="69" t="s">
        <v>8</v>
      </c>
      <c r="F1137" s="68"/>
      <c r="G1137" s="70">
        <v>44652</v>
      </c>
      <c r="H1137" s="71">
        <v>44926</v>
      </c>
    </row>
    <row r="1138" spans="1:8" x14ac:dyDescent="0.2">
      <c r="A1138" s="32" t="s">
        <v>1297</v>
      </c>
      <c r="B1138" s="27" t="s">
        <v>1298</v>
      </c>
      <c r="C1138" s="68">
        <v>193.22100000000003</v>
      </c>
      <c r="D1138" s="68">
        <v>86.949450000000013</v>
      </c>
      <c r="E1138" s="69" t="s">
        <v>8</v>
      </c>
      <c r="F1138" s="68"/>
      <c r="G1138" s="70">
        <v>44652</v>
      </c>
      <c r="H1138" s="71">
        <v>44926</v>
      </c>
    </row>
    <row r="1139" spans="1:8" x14ac:dyDescent="0.2">
      <c r="A1139" s="32" t="s">
        <v>901</v>
      </c>
      <c r="B1139" s="27" t="s">
        <v>902</v>
      </c>
      <c r="C1139" s="68">
        <v>125.349</v>
      </c>
      <c r="D1139" s="68">
        <v>56.407050000000005</v>
      </c>
      <c r="E1139" s="69" t="s">
        <v>954</v>
      </c>
      <c r="F1139" s="68">
        <v>52.458556500000007</v>
      </c>
      <c r="G1139" s="70">
        <v>44652</v>
      </c>
      <c r="H1139" s="71">
        <v>44926</v>
      </c>
    </row>
    <row r="1140" spans="1:8" x14ac:dyDescent="0.2">
      <c r="A1140" s="32" t="s">
        <v>903</v>
      </c>
      <c r="B1140" s="27" t="s">
        <v>892</v>
      </c>
      <c r="C1140" s="68">
        <v>115</v>
      </c>
      <c r="D1140" s="68">
        <v>51.75</v>
      </c>
      <c r="E1140" s="69" t="s">
        <v>8</v>
      </c>
      <c r="F1140" s="68"/>
      <c r="G1140" s="70">
        <v>44652</v>
      </c>
      <c r="H1140" s="71">
        <v>44926</v>
      </c>
    </row>
    <row r="1141" spans="1:8" x14ac:dyDescent="0.2">
      <c r="A1141" s="32" t="s">
        <v>904</v>
      </c>
      <c r="B1141" s="27" t="s">
        <v>892</v>
      </c>
      <c r="C1141" s="68">
        <v>129.5</v>
      </c>
      <c r="D1141" s="68">
        <v>58.274999999999999</v>
      </c>
      <c r="E1141" s="69" t="s">
        <v>954</v>
      </c>
      <c r="F1141" s="68">
        <v>54.195750000000004</v>
      </c>
      <c r="G1141" s="70">
        <v>44652</v>
      </c>
      <c r="H1141" s="71">
        <v>44926</v>
      </c>
    </row>
    <row r="1142" spans="1:8" x14ac:dyDescent="0.2">
      <c r="A1142" s="32" t="s">
        <v>1290</v>
      </c>
      <c r="B1142" s="27" t="s">
        <v>892</v>
      </c>
      <c r="C1142" s="68">
        <v>136</v>
      </c>
      <c r="D1142" s="68">
        <v>61.2</v>
      </c>
      <c r="E1142" s="69" t="s">
        <v>8</v>
      </c>
      <c r="F1142" s="68"/>
      <c r="G1142" s="70">
        <v>44652</v>
      </c>
      <c r="H1142" s="71">
        <v>44926</v>
      </c>
    </row>
    <row r="1143" spans="1:8" x14ac:dyDescent="0.2">
      <c r="A1143" s="32" t="s">
        <v>905</v>
      </c>
      <c r="B1143" s="27" t="s">
        <v>906</v>
      </c>
      <c r="C1143" s="68">
        <v>138.69999999999999</v>
      </c>
      <c r="D1143" s="68">
        <v>62.414999999999999</v>
      </c>
      <c r="E1143" s="69" t="s">
        <v>8</v>
      </c>
      <c r="F1143" s="68"/>
      <c r="G1143" s="70">
        <v>44652</v>
      </c>
      <c r="H1143" s="71">
        <v>44926</v>
      </c>
    </row>
    <row r="1144" spans="1:8" x14ac:dyDescent="0.2">
      <c r="A1144" s="32" t="s">
        <v>907</v>
      </c>
      <c r="B1144" s="27" t="s">
        <v>896</v>
      </c>
      <c r="C1144" s="68">
        <v>140</v>
      </c>
      <c r="D1144" s="68">
        <v>63</v>
      </c>
      <c r="E1144" s="69" t="s">
        <v>8</v>
      </c>
      <c r="F1144" s="68"/>
      <c r="G1144" s="70">
        <v>44652</v>
      </c>
      <c r="H1144" s="71">
        <v>44926</v>
      </c>
    </row>
    <row r="1145" spans="1:8" x14ac:dyDescent="0.2">
      <c r="A1145" s="32" t="s">
        <v>908</v>
      </c>
      <c r="B1145" s="27" t="s">
        <v>909</v>
      </c>
      <c r="C1145" s="68">
        <v>162.69999999999999</v>
      </c>
      <c r="D1145" s="68">
        <v>73.215000000000003</v>
      </c>
      <c r="E1145" s="69" t="s">
        <v>954</v>
      </c>
      <c r="F1145" s="68">
        <v>68.089950000000002</v>
      </c>
      <c r="G1145" s="70">
        <v>44652</v>
      </c>
      <c r="H1145" s="71">
        <v>44926</v>
      </c>
    </row>
    <row r="1146" spans="1:8" x14ac:dyDescent="0.2">
      <c r="A1146" s="32" t="s">
        <v>1322</v>
      </c>
      <c r="B1146" s="27" t="s">
        <v>1302</v>
      </c>
      <c r="C1146" s="68">
        <v>176.72</v>
      </c>
      <c r="D1146" s="68">
        <v>79.524000000000001</v>
      </c>
      <c r="E1146" s="69" t="s">
        <v>954</v>
      </c>
      <c r="F1146" s="68">
        <v>73.95732000000001</v>
      </c>
      <c r="G1146" s="70">
        <v>44652</v>
      </c>
      <c r="H1146" s="71">
        <v>44926</v>
      </c>
    </row>
    <row r="1147" spans="1:8" x14ac:dyDescent="0.2">
      <c r="A1147" s="32" t="s">
        <v>910</v>
      </c>
      <c r="B1147" s="27" t="s">
        <v>892</v>
      </c>
      <c r="C1147" s="68">
        <v>140.1</v>
      </c>
      <c r="D1147" s="68">
        <v>63.045000000000002</v>
      </c>
      <c r="E1147" s="69" t="s">
        <v>954</v>
      </c>
      <c r="F1147" s="68">
        <v>58.631850000000007</v>
      </c>
      <c r="G1147" s="70">
        <v>44652</v>
      </c>
      <c r="H1147" s="71">
        <v>44926</v>
      </c>
    </row>
    <row r="1148" spans="1:8" x14ac:dyDescent="0.2">
      <c r="A1148" s="32" t="s">
        <v>911</v>
      </c>
      <c r="B1148" s="27" t="s">
        <v>912</v>
      </c>
      <c r="C1148" s="68">
        <v>258.38400000000001</v>
      </c>
      <c r="D1148" s="68">
        <v>116.2728</v>
      </c>
      <c r="E1148" s="69" t="s">
        <v>954</v>
      </c>
      <c r="F1148" s="68">
        <v>108.13370400000001</v>
      </c>
      <c r="G1148" s="70">
        <v>44652</v>
      </c>
      <c r="H1148" s="71">
        <v>44926</v>
      </c>
    </row>
    <row r="1149" spans="1:8" x14ac:dyDescent="0.2">
      <c r="A1149" s="32" t="s">
        <v>1263</v>
      </c>
      <c r="B1149" s="27" t="s">
        <v>1264</v>
      </c>
      <c r="C1149" s="68">
        <v>66.412500000000009</v>
      </c>
      <c r="D1149" s="68">
        <v>29.885625000000005</v>
      </c>
      <c r="E1149" s="69" t="s">
        <v>954</v>
      </c>
      <c r="F1149" s="68">
        <v>27.793631250000004</v>
      </c>
      <c r="G1149" s="70">
        <v>44652</v>
      </c>
      <c r="H1149" s="71">
        <v>44926</v>
      </c>
    </row>
    <row r="1150" spans="1:8" x14ac:dyDescent="0.2">
      <c r="A1150" s="32" t="s">
        <v>1267</v>
      </c>
      <c r="B1150" s="27" t="s">
        <v>1268</v>
      </c>
      <c r="C1150" s="68">
        <v>43.785000000000004</v>
      </c>
      <c r="D1150" s="68">
        <v>19.703250000000001</v>
      </c>
      <c r="E1150" s="69" t="s">
        <v>954</v>
      </c>
      <c r="F1150" s="68">
        <v>18.324022500000002</v>
      </c>
      <c r="G1150" s="70">
        <v>44652</v>
      </c>
      <c r="H1150" s="71">
        <v>44926</v>
      </c>
    </row>
    <row r="1151" spans="1:8" x14ac:dyDescent="0.2">
      <c r="A1151" s="32" t="s">
        <v>1344</v>
      </c>
      <c r="B1151" s="27" t="s">
        <v>1345</v>
      </c>
      <c r="C1151" s="68">
        <v>40.036500000000004</v>
      </c>
      <c r="D1151" s="68">
        <v>18.016425000000002</v>
      </c>
      <c r="E1151" s="69" t="s">
        <v>954</v>
      </c>
      <c r="F1151" s="68">
        <v>16.755275250000004</v>
      </c>
      <c r="G1151" s="70">
        <v>44652</v>
      </c>
      <c r="H1151" s="71">
        <v>44926</v>
      </c>
    </row>
    <row r="1152" spans="1:8" x14ac:dyDescent="0.2">
      <c r="A1152" s="32" t="s">
        <v>913</v>
      </c>
      <c r="B1152" s="27" t="s">
        <v>914</v>
      </c>
      <c r="C1152" s="68">
        <v>66.412500000000009</v>
      </c>
      <c r="D1152" s="68">
        <v>29.885625000000005</v>
      </c>
      <c r="E1152" s="69" t="s">
        <v>954</v>
      </c>
      <c r="F1152" s="68">
        <v>27.793631250000004</v>
      </c>
      <c r="G1152" s="70">
        <v>44652</v>
      </c>
      <c r="H1152" s="71">
        <v>44926</v>
      </c>
    </row>
    <row r="1153" spans="1:8" x14ac:dyDescent="0.2">
      <c r="A1153" s="32" t="s">
        <v>1265</v>
      </c>
      <c r="B1153" s="27" t="s">
        <v>1266</v>
      </c>
      <c r="C1153" s="68">
        <v>41.916000000000004</v>
      </c>
      <c r="D1153" s="68">
        <v>18.862200000000001</v>
      </c>
      <c r="E1153" s="69" t="s">
        <v>954</v>
      </c>
      <c r="F1153" s="68">
        <v>17.541846000000003</v>
      </c>
      <c r="G1153" s="70">
        <v>44652</v>
      </c>
      <c r="H1153" s="71">
        <v>44926</v>
      </c>
    </row>
    <row r="1154" spans="1:8" x14ac:dyDescent="0.2">
      <c r="A1154" s="32" t="s">
        <v>915</v>
      </c>
      <c r="B1154" s="27" t="s">
        <v>916</v>
      </c>
      <c r="C1154" s="68">
        <v>47.817</v>
      </c>
      <c r="D1154" s="68">
        <v>21.51765</v>
      </c>
      <c r="E1154" s="69" t="s">
        <v>954</v>
      </c>
      <c r="F1154" s="68">
        <v>20.011414500000001</v>
      </c>
      <c r="G1154" s="70">
        <v>44652</v>
      </c>
      <c r="H1154" s="71">
        <v>44926</v>
      </c>
    </row>
    <row r="1155" spans="1:8" x14ac:dyDescent="0.2">
      <c r="A1155" s="32" t="s">
        <v>917</v>
      </c>
      <c r="B1155" s="27" t="s">
        <v>918</v>
      </c>
      <c r="C1155" s="68">
        <v>166.72</v>
      </c>
      <c r="D1155" s="68">
        <v>75.024000000000001</v>
      </c>
      <c r="E1155" s="69" t="s">
        <v>8</v>
      </c>
      <c r="F1155" s="68"/>
      <c r="G1155" s="70">
        <v>44652</v>
      </c>
      <c r="H1155" s="71">
        <v>44926</v>
      </c>
    </row>
    <row r="1156" spans="1:8" x14ac:dyDescent="0.2">
      <c r="A1156" s="32" t="s">
        <v>1069</v>
      </c>
      <c r="B1156" s="27" t="s">
        <v>1070</v>
      </c>
      <c r="C1156" s="68">
        <v>611.13149999999996</v>
      </c>
      <c r="D1156" s="68">
        <v>275.00917499999997</v>
      </c>
      <c r="E1156" s="69" t="s">
        <v>8</v>
      </c>
      <c r="F1156" s="68"/>
      <c r="G1156" s="70">
        <v>44652</v>
      </c>
      <c r="H1156" s="71">
        <v>44926</v>
      </c>
    </row>
    <row r="1157" spans="1:8" x14ac:dyDescent="0.2">
      <c r="A1157" s="32" t="s">
        <v>919</v>
      </c>
      <c r="B1157" s="27" t="s">
        <v>920</v>
      </c>
      <c r="C1157" s="68">
        <v>158.12</v>
      </c>
      <c r="D1157" s="68">
        <v>71.154000000000011</v>
      </c>
      <c r="E1157" s="69" t="s">
        <v>8</v>
      </c>
      <c r="F1157" s="68"/>
      <c r="G1157" s="70">
        <v>44652</v>
      </c>
      <c r="H1157" s="71">
        <v>44926</v>
      </c>
    </row>
    <row r="1158" spans="1:8" x14ac:dyDescent="0.2">
      <c r="A1158" s="32" t="s">
        <v>1067</v>
      </c>
      <c r="B1158" s="27" t="s">
        <v>1068</v>
      </c>
      <c r="C1158" s="68">
        <v>608.69550000000004</v>
      </c>
      <c r="D1158" s="68">
        <v>273.91297500000002</v>
      </c>
      <c r="E1158" s="69" t="s">
        <v>8</v>
      </c>
      <c r="F1158" s="68"/>
      <c r="G1158" s="70">
        <v>44652</v>
      </c>
      <c r="H1158" s="71">
        <v>44926</v>
      </c>
    </row>
    <row r="1159" spans="1:8" x14ac:dyDescent="0.2">
      <c r="A1159" s="32" t="s">
        <v>921</v>
      </c>
      <c r="B1159" s="27" t="s">
        <v>922</v>
      </c>
      <c r="C1159" s="68">
        <v>71.5</v>
      </c>
      <c r="D1159" s="68">
        <v>32.175000000000004</v>
      </c>
      <c r="E1159" s="69" t="s">
        <v>954</v>
      </c>
      <c r="F1159" s="68">
        <v>29.922750000000004</v>
      </c>
      <c r="G1159" s="70">
        <v>44652</v>
      </c>
      <c r="H1159" s="71">
        <v>44926</v>
      </c>
    </row>
    <row r="1160" spans="1:8" x14ac:dyDescent="0.2">
      <c r="A1160" s="32" t="s">
        <v>923</v>
      </c>
      <c r="B1160" s="27" t="s">
        <v>924</v>
      </c>
      <c r="C1160" s="68">
        <v>75</v>
      </c>
      <c r="D1160" s="68">
        <v>33.75</v>
      </c>
      <c r="E1160" s="69" t="s">
        <v>954</v>
      </c>
      <c r="F1160" s="68">
        <v>31.387500000000003</v>
      </c>
      <c r="G1160" s="70">
        <v>44652</v>
      </c>
      <c r="H1160" s="71">
        <v>44926</v>
      </c>
    </row>
    <row r="1161" spans="1:8" x14ac:dyDescent="0.2">
      <c r="A1161" s="32" t="s">
        <v>925</v>
      </c>
      <c r="B1161" s="27" t="s">
        <v>926</v>
      </c>
      <c r="C1161" s="68">
        <v>75</v>
      </c>
      <c r="D1161" s="68">
        <v>33.75</v>
      </c>
      <c r="E1161" s="69" t="s">
        <v>954</v>
      </c>
      <c r="F1161" s="68">
        <v>31.387500000000003</v>
      </c>
      <c r="G1161" s="70">
        <v>44652</v>
      </c>
      <c r="H1161" s="71">
        <v>44926</v>
      </c>
    </row>
    <row r="1162" spans="1:8" x14ac:dyDescent="0.2">
      <c r="A1162" s="32" t="s">
        <v>927</v>
      </c>
      <c r="B1162" s="27" t="s">
        <v>922</v>
      </c>
      <c r="C1162" s="68">
        <v>69.75</v>
      </c>
      <c r="D1162" s="68">
        <v>31.387499999999999</v>
      </c>
      <c r="E1162" s="69" t="s">
        <v>954</v>
      </c>
      <c r="F1162" s="68">
        <v>29.190375</v>
      </c>
      <c r="G1162" s="70">
        <v>44652</v>
      </c>
      <c r="H1162" s="71">
        <v>44926</v>
      </c>
    </row>
    <row r="1163" spans="1:8" x14ac:dyDescent="0.2">
      <c r="A1163" s="32" t="s">
        <v>928</v>
      </c>
      <c r="B1163" s="27" t="s">
        <v>929</v>
      </c>
      <c r="C1163" s="68">
        <v>52</v>
      </c>
      <c r="D1163" s="68">
        <v>23.400000000000002</v>
      </c>
      <c r="E1163" s="69" t="s">
        <v>954</v>
      </c>
      <c r="F1163" s="68">
        <v>21.762000000000004</v>
      </c>
      <c r="G1163" s="70">
        <v>44652</v>
      </c>
      <c r="H1163" s="71">
        <v>44926</v>
      </c>
    </row>
    <row r="1164" spans="1:8" x14ac:dyDescent="0.2">
      <c r="A1164" s="32" t="s">
        <v>930</v>
      </c>
      <c r="B1164" s="27" t="s">
        <v>931</v>
      </c>
      <c r="C1164" s="68">
        <v>58.621499999999997</v>
      </c>
      <c r="D1164" s="68">
        <v>26.379674999999999</v>
      </c>
      <c r="E1164" s="69" t="s">
        <v>954</v>
      </c>
      <c r="F1164" s="68">
        <v>24.53309775</v>
      </c>
      <c r="G1164" s="70">
        <v>44652</v>
      </c>
      <c r="H1164" s="71">
        <v>44926</v>
      </c>
    </row>
    <row r="1165" spans="1:8" x14ac:dyDescent="0.2">
      <c r="A1165" s="32" t="s">
        <v>932</v>
      </c>
      <c r="B1165" s="27" t="s">
        <v>933</v>
      </c>
      <c r="C1165" s="68">
        <v>107.19450000000001</v>
      </c>
      <c r="D1165" s="68">
        <v>48.237525000000005</v>
      </c>
      <c r="E1165" s="69" t="s">
        <v>954</v>
      </c>
      <c r="F1165" s="68">
        <v>44.860898250000005</v>
      </c>
      <c r="G1165" s="70">
        <v>44652</v>
      </c>
      <c r="H1165" s="71">
        <v>44926</v>
      </c>
    </row>
    <row r="1166" spans="1:8" x14ac:dyDescent="0.2">
      <c r="A1166" s="32" t="s">
        <v>934</v>
      </c>
      <c r="B1166" s="27" t="s">
        <v>935</v>
      </c>
      <c r="C1166" s="68">
        <v>70.507500000000007</v>
      </c>
      <c r="D1166" s="68">
        <v>31.728375000000003</v>
      </c>
      <c r="E1166" s="69" t="s">
        <v>954</v>
      </c>
      <c r="F1166" s="68">
        <v>29.507388750000004</v>
      </c>
      <c r="G1166" s="70">
        <v>44652</v>
      </c>
      <c r="H1166" s="71">
        <v>44926</v>
      </c>
    </row>
    <row r="1167" spans="1:8" x14ac:dyDescent="0.2">
      <c r="A1167" s="32" t="s">
        <v>1127</v>
      </c>
      <c r="B1167" s="27" t="s">
        <v>937</v>
      </c>
      <c r="C1167" s="68">
        <v>587.35</v>
      </c>
      <c r="D1167" s="68">
        <v>264.3075</v>
      </c>
      <c r="E1167" s="69" t="s">
        <v>8</v>
      </c>
      <c r="F1167" s="68"/>
      <c r="G1167" s="70">
        <v>44652</v>
      </c>
      <c r="H1167" s="71">
        <v>44926</v>
      </c>
    </row>
    <row r="1168" spans="1:8" x14ac:dyDescent="0.2">
      <c r="A1168" s="32" t="s">
        <v>1065</v>
      </c>
      <c r="B1168" s="27" t="s">
        <v>1066</v>
      </c>
      <c r="C1168" s="68">
        <v>821.18400000000008</v>
      </c>
      <c r="D1168" s="68">
        <v>369.53280000000007</v>
      </c>
      <c r="E1168" s="69" t="s">
        <v>8</v>
      </c>
      <c r="F1168" s="68"/>
      <c r="G1168" s="70">
        <v>44652</v>
      </c>
      <c r="H1168" s="71">
        <v>44926</v>
      </c>
    </row>
    <row r="1169" spans="1:8" x14ac:dyDescent="0.2">
      <c r="A1169" s="32" t="s">
        <v>936</v>
      </c>
      <c r="B1169" s="27" t="s">
        <v>937</v>
      </c>
      <c r="C1169" s="68">
        <v>983.976</v>
      </c>
      <c r="D1169" s="68">
        <v>442.78919999999999</v>
      </c>
      <c r="E1169" s="69" t="s">
        <v>8</v>
      </c>
      <c r="F1169" s="68"/>
      <c r="G1169" s="70">
        <v>44652</v>
      </c>
      <c r="H1169" s="71">
        <v>44926</v>
      </c>
    </row>
    <row r="1170" spans="1:8" x14ac:dyDescent="0.2">
      <c r="A1170" s="32" t="s">
        <v>1073</v>
      </c>
      <c r="B1170" s="27" t="s">
        <v>1074</v>
      </c>
      <c r="C1170" s="68">
        <v>1170.4035000000001</v>
      </c>
      <c r="D1170" s="68">
        <v>526.68157500000007</v>
      </c>
      <c r="E1170" s="69" t="s">
        <v>8</v>
      </c>
      <c r="F1170" s="68"/>
      <c r="G1170" s="70">
        <v>44652</v>
      </c>
      <c r="H1170" s="71">
        <v>44926</v>
      </c>
    </row>
    <row r="1171" spans="1:8" x14ac:dyDescent="0.2">
      <c r="A1171" s="32" t="s">
        <v>1157</v>
      </c>
      <c r="B1171" s="27" t="s">
        <v>1158</v>
      </c>
      <c r="C1171" s="68">
        <v>960</v>
      </c>
      <c r="D1171" s="68">
        <v>432</v>
      </c>
      <c r="E1171" s="69" t="s">
        <v>8</v>
      </c>
      <c r="F1171" s="68"/>
      <c r="G1171" s="70">
        <v>44652</v>
      </c>
      <c r="H1171" s="71">
        <v>44926</v>
      </c>
    </row>
    <row r="1172" spans="1:8" x14ac:dyDescent="0.2">
      <c r="A1172" s="32" t="s">
        <v>1162</v>
      </c>
      <c r="B1172" s="27" t="s">
        <v>1163</v>
      </c>
      <c r="C1172" s="68">
        <v>1160</v>
      </c>
      <c r="D1172" s="68">
        <v>522</v>
      </c>
      <c r="E1172" s="69" t="s">
        <v>8</v>
      </c>
      <c r="F1172" s="68"/>
      <c r="G1172" s="70">
        <v>44652</v>
      </c>
      <c r="H1172" s="71">
        <v>44926</v>
      </c>
    </row>
    <row r="1173" spans="1:8" x14ac:dyDescent="0.2">
      <c r="A1173" s="32" t="s">
        <v>1155</v>
      </c>
      <c r="B1173" s="27" t="s">
        <v>1156</v>
      </c>
      <c r="C1173" s="68">
        <v>1090</v>
      </c>
      <c r="D1173" s="68">
        <v>490.5</v>
      </c>
      <c r="E1173" s="69" t="s">
        <v>8</v>
      </c>
      <c r="F1173" s="68"/>
      <c r="G1173" s="70">
        <v>44652</v>
      </c>
      <c r="H1173" s="71">
        <v>44926</v>
      </c>
    </row>
    <row r="1174" spans="1:8" x14ac:dyDescent="0.2">
      <c r="A1174" s="32" t="s">
        <v>938</v>
      </c>
      <c r="B1174" s="27" t="s">
        <v>939</v>
      </c>
      <c r="C1174" s="68">
        <v>1290</v>
      </c>
      <c r="D1174" s="68">
        <v>580.5</v>
      </c>
      <c r="E1174" s="69" t="s">
        <v>8</v>
      </c>
      <c r="F1174" s="68"/>
      <c r="G1174" s="70">
        <v>44652</v>
      </c>
      <c r="H1174" s="71">
        <v>44926</v>
      </c>
    </row>
    <row r="1175" spans="1:8" x14ac:dyDescent="0.2">
      <c r="A1175" s="32" t="s">
        <v>940</v>
      </c>
      <c r="B1175" s="27" t="s">
        <v>941</v>
      </c>
      <c r="C1175" s="68">
        <v>644.14</v>
      </c>
      <c r="D1175" s="68">
        <v>289.863</v>
      </c>
      <c r="E1175" s="69" t="s">
        <v>8</v>
      </c>
      <c r="F1175" s="68"/>
      <c r="G1175" s="70">
        <v>44652</v>
      </c>
      <c r="H1175" s="71">
        <v>44926</v>
      </c>
    </row>
    <row r="1176" spans="1:8" x14ac:dyDescent="0.2">
      <c r="A1176" s="32" t="s">
        <v>1125</v>
      </c>
      <c r="B1176" s="27" t="s">
        <v>1126</v>
      </c>
      <c r="C1176" s="68">
        <v>898.63</v>
      </c>
      <c r="D1176" s="68">
        <v>404.38350000000003</v>
      </c>
      <c r="E1176" s="69" t="s">
        <v>8</v>
      </c>
      <c r="F1176" s="68"/>
      <c r="G1176" s="70">
        <v>44652</v>
      </c>
      <c r="H1176" s="71">
        <v>44926</v>
      </c>
    </row>
    <row r="1177" spans="1:8" x14ac:dyDescent="0.2">
      <c r="A1177" s="32" t="s">
        <v>1138</v>
      </c>
      <c r="B1177" s="27" t="s">
        <v>1139</v>
      </c>
      <c r="C1177" s="68">
        <v>1150</v>
      </c>
      <c r="D1177" s="68">
        <v>517.5</v>
      </c>
      <c r="E1177" s="69" t="s">
        <v>8</v>
      </c>
      <c r="F1177" s="68"/>
      <c r="G1177" s="70">
        <v>44652</v>
      </c>
      <c r="H1177" s="71">
        <v>44926</v>
      </c>
    </row>
    <row r="1178" spans="1:8" x14ac:dyDescent="0.2">
      <c r="A1178" s="32" t="s">
        <v>1164</v>
      </c>
      <c r="B1178" s="27" t="s">
        <v>1135</v>
      </c>
      <c r="C1178" s="68">
        <v>980</v>
      </c>
      <c r="D1178" s="68">
        <v>441</v>
      </c>
      <c r="E1178" s="69" t="s">
        <v>8</v>
      </c>
      <c r="F1178" s="68"/>
      <c r="G1178" s="70">
        <v>44652</v>
      </c>
      <c r="H1178" s="71">
        <v>44926</v>
      </c>
    </row>
    <row r="1179" spans="1:8" x14ac:dyDescent="0.2">
      <c r="A1179" s="32" t="s">
        <v>1153</v>
      </c>
      <c r="B1179" s="27" t="s">
        <v>1154</v>
      </c>
      <c r="C1179" s="68">
        <v>1060</v>
      </c>
      <c r="D1179" s="68">
        <v>477</v>
      </c>
      <c r="E1179" s="69" t="s">
        <v>8</v>
      </c>
      <c r="F1179" s="68"/>
      <c r="G1179" s="70">
        <v>44652</v>
      </c>
      <c r="H1179" s="71">
        <v>44926</v>
      </c>
    </row>
    <row r="1180" spans="1:8" x14ac:dyDescent="0.2">
      <c r="A1180" s="32" t="s">
        <v>1115</v>
      </c>
      <c r="B1180" s="27" t="s">
        <v>1116</v>
      </c>
      <c r="C1180" s="68">
        <v>700</v>
      </c>
      <c r="D1180" s="68">
        <v>315</v>
      </c>
      <c r="E1180" s="69" t="s">
        <v>8</v>
      </c>
      <c r="F1180" s="68"/>
      <c r="G1180" s="70">
        <v>44652</v>
      </c>
      <c r="H1180" s="71">
        <v>44926</v>
      </c>
    </row>
    <row r="1181" spans="1:8" x14ac:dyDescent="0.2">
      <c r="A1181" s="32" t="s">
        <v>942</v>
      </c>
      <c r="B1181" s="27" t="s">
        <v>943</v>
      </c>
      <c r="C1181" s="68">
        <v>1000</v>
      </c>
      <c r="D1181" s="68">
        <v>450</v>
      </c>
      <c r="E1181" s="69" t="s">
        <v>8</v>
      </c>
      <c r="F1181" s="68"/>
      <c r="G1181" s="70">
        <v>44652</v>
      </c>
      <c r="H1181" s="71">
        <v>44926</v>
      </c>
    </row>
    <row r="1182" spans="1:8" x14ac:dyDescent="0.2">
      <c r="A1182" s="32" t="s">
        <v>1134</v>
      </c>
      <c r="B1182" s="27" t="s">
        <v>1135</v>
      </c>
      <c r="C1182" s="68">
        <v>1050</v>
      </c>
      <c r="D1182" s="68">
        <v>472.5</v>
      </c>
      <c r="E1182" s="69" t="s">
        <v>8</v>
      </c>
      <c r="F1182" s="68"/>
      <c r="G1182" s="70">
        <v>44652</v>
      </c>
      <c r="H1182" s="71">
        <v>44926</v>
      </c>
    </row>
    <row r="1183" spans="1:8" x14ac:dyDescent="0.2">
      <c r="A1183" s="32" t="s">
        <v>944</v>
      </c>
      <c r="B1183" s="27" t="s">
        <v>945</v>
      </c>
      <c r="C1183" s="68">
        <v>644.36</v>
      </c>
      <c r="D1183" s="68">
        <v>289.96199999999999</v>
      </c>
      <c r="E1183" s="69" t="s">
        <v>8</v>
      </c>
      <c r="F1183" s="68"/>
      <c r="G1183" s="70">
        <v>44652</v>
      </c>
      <c r="H1183" s="71">
        <v>44926</v>
      </c>
    </row>
    <row r="1184" spans="1:8" x14ac:dyDescent="0.2">
      <c r="A1184" s="32" t="s">
        <v>1140</v>
      </c>
      <c r="B1184" s="27" t="s">
        <v>1116</v>
      </c>
      <c r="C1184" s="68">
        <v>790</v>
      </c>
      <c r="D1184" s="68">
        <v>355.5</v>
      </c>
      <c r="E1184" s="69" t="s">
        <v>8</v>
      </c>
      <c r="F1184" s="68"/>
      <c r="G1184" s="70">
        <v>44652</v>
      </c>
      <c r="H1184" s="71">
        <v>44926</v>
      </c>
    </row>
    <row r="1185" spans="1:8" x14ac:dyDescent="0.2">
      <c r="A1185" s="32" t="s">
        <v>1144</v>
      </c>
      <c r="B1185" s="27" t="s">
        <v>1145</v>
      </c>
      <c r="C1185" s="68">
        <v>1130</v>
      </c>
      <c r="D1185" s="68">
        <v>508.5</v>
      </c>
      <c r="E1185" s="69" t="s">
        <v>8</v>
      </c>
      <c r="F1185" s="68"/>
      <c r="G1185" s="70">
        <v>44652</v>
      </c>
      <c r="H1185" s="71">
        <v>44926</v>
      </c>
    </row>
    <row r="1186" spans="1:8" x14ac:dyDescent="0.2">
      <c r="A1186" s="32" t="s">
        <v>946</v>
      </c>
      <c r="B1186" s="27" t="s">
        <v>947</v>
      </c>
      <c r="C1186" s="68">
        <v>110.98500000000001</v>
      </c>
      <c r="D1186" s="68">
        <v>49.943250000000006</v>
      </c>
      <c r="E1186" s="69" t="s">
        <v>954</v>
      </c>
      <c r="F1186" s="68">
        <v>46.447222500000009</v>
      </c>
      <c r="G1186" s="70">
        <v>44652</v>
      </c>
      <c r="H1186" s="71">
        <v>44926</v>
      </c>
    </row>
    <row r="1187" spans="1:8" x14ac:dyDescent="0.2">
      <c r="A1187" s="32" t="s">
        <v>948</v>
      </c>
      <c r="B1187" s="27" t="s">
        <v>949</v>
      </c>
      <c r="C1187" s="68">
        <v>91.96</v>
      </c>
      <c r="D1187" s="68">
        <v>41.381999999999998</v>
      </c>
      <c r="E1187" s="69" t="s">
        <v>954</v>
      </c>
      <c r="F1187" s="68">
        <v>38.485259999999997</v>
      </c>
      <c r="G1187" s="70">
        <v>44652</v>
      </c>
      <c r="H1187" s="71">
        <v>44926</v>
      </c>
    </row>
    <row r="1188" spans="1:8" x14ac:dyDescent="0.2">
      <c r="A1188" s="32" t="s">
        <v>950</v>
      </c>
      <c r="B1188" s="27" t="s">
        <v>951</v>
      </c>
      <c r="C1188" s="68">
        <v>90.100500000000011</v>
      </c>
      <c r="D1188" s="68">
        <v>40.545225000000009</v>
      </c>
      <c r="E1188" s="69" t="s">
        <v>954</v>
      </c>
      <c r="F1188" s="68">
        <v>37.707059250000007</v>
      </c>
      <c r="G1188" s="70">
        <v>44652</v>
      </c>
      <c r="H1188" s="71">
        <v>44926</v>
      </c>
    </row>
    <row r="1189" spans="1:8" x14ac:dyDescent="0.2">
      <c r="A1189" s="32" t="s">
        <v>952</v>
      </c>
      <c r="B1189" s="27" t="s">
        <v>953</v>
      </c>
      <c r="C1189" s="68">
        <v>49.25</v>
      </c>
      <c r="D1189" s="68">
        <v>22.162500000000001</v>
      </c>
      <c r="E1189" s="69" t="s">
        <v>954</v>
      </c>
      <c r="F1189" s="68">
        <v>20.611125000000001</v>
      </c>
      <c r="G1189" s="70">
        <v>44652</v>
      </c>
      <c r="H1189" s="71">
        <v>44926</v>
      </c>
    </row>
    <row r="1190" spans="1:8" x14ac:dyDescent="0.2">
      <c r="A1190" s="32" t="s">
        <v>1342</v>
      </c>
      <c r="B1190" s="27" t="s">
        <v>1343</v>
      </c>
      <c r="C1190" s="68">
        <v>46.599000000000004</v>
      </c>
      <c r="D1190" s="68">
        <v>20.969550000000002</v>
      </c>
      <c r="E1190" s="69" t="s">
        <v>954</v>
      </c>
      <c r="F1190" s="68">
        <v>19.501681500000004</v>
      </c>
      <c r="G1190" s="70">
        <v>44652</v>
      </c>
      <c r="H1190" s="71">
        <v>44926</v>
      </c>
    </row>
    <row r="1191" spans="1:8" ht="13.5" thickBot="1" x14ac:dyDescent="0.25">
      <c r="A1191" s="33" t="s">
        <v>1348</v>
      </c>
      <c r="B1191" s="34" t="s">
        <v>1349</v>
      </c>
      <c r="C1191" s="56">
        <v>107.19450000000001</v>
      </c>
      <c r="D1191" s="56">
        <v>48.237525000000005</v>
      </c>
      <c r="E1191" s="35" t="s">
        <v>954</v>
      </c>
      <c r="F1191" s="56">
        <v>44.860898250000005</v>
      </c>
      <c r="G1191" s="36">
        <v>44652</v>
      </c>
      <c r="H1191" s="37">
        <v>44926</v>
      </c>
    </row>
  </sheetData>
  <sheetProtection algorithmName="SHA-512" hashValue="/1fOFxkdihpo1Mudb50jnOZ3rxNunckysQy1hzf287K052FR365iEQa5VkXMUkpy7Tn0Yy417r05OnnGZ7bVyA==" saltValue="3yLNOcdX5Ta0sczOKijpwA==" spinCount="100000" sheet="1" objects="1" scenarios="1"/>
  <sortState xmlns:xlrd2="http://schemas.microsoft.com/office/spreadsheetml/2017/richdata2" ref="A4:H1191">
    <sortCondition ref="A4:A1191"/>
  </sortState>
  <mergeCells count="1">
    <mergeCell ref="A1:H1"/>
  </mergeCells>
  <pageMargins left="0.25" right="0.25" top="0.5" bottom="0.2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51413-8577-4500-B602-E21C5AC95C08}">
  <sheetPr codeName="Sheet4">
    <tabColor theme="4" tint="0.39997558519241921"/>
  </sheetPr>
  <dimension ref="A1:H1191"/>
  <sheetViews>
    <sheetView workbookViewId="0">
      <selection sqref="A1:H1"/>
    </sheetView>
  </sheetViews>
  <sheetFormatPr defaultRowHeight="12.75" x14ac:dyDescent="0.2"/>
  <cols>
    <col min="1" max="1" width="15.85546875" bestFit="1" customWidth="1"/>
    <col min="2" max="2" width="38.5703125" bestFit="1" customWidth="1"/>
    <col min="3" max="3" width="11.7109375" style="52" customWidth="1"/>
    <col min="4" max="4" width="15.7109375" style="52" customWidth="1"/>
    <col min="5" max="5" width="12.7109375" style="38" customWidth="1"/>
    <col min="6" max="7" width="17.7109375" style="38" customWidth="1"/>
    <col min="8" max="8" width="17.7109375" style="39" customWidth="1"/>
    <col min="257" max="257" width="15.85546875" bestFit="1" customWidth="1"/>
    <col min="258" max="258" width="38.5703125" bestFit="1" customWidth="1"/>
    <col min="259" max="259" width="11.7109375" customWidth="1"/>
    <col min="260" max="260" width="15.7109375" customWidth="1"/>
    <col min="261" max="261" width="12.7109375" customWidth="1"/>
    <col min="262" max="264" width="17.7109375" customWidth="1"/>
    <col min="513" max="513" width="15.85546875" bestFit="1" customWidth="1"/>
    <col min="514" max="514" width="38.5703125" bestFit="1" customWidth="1"/>
    <col min="515" max="515" width="11.7109375" customWidth="1"/>
    <col min="516" max="516" width="15.7109375" customWidth="1"/>
    <col min="517" max="517" width="12.7109375" customWidth="1"/>
    <col min="518" max="520" width="17.7109375" customWidth="1"/>
    <col min="769" max="769" width="15.85546875" bestFit="1" customWidth="1"/>
    <col min="770" max="770" width="38.5703125" bestFit="1" customWidth="1"/>
    <col min="771" max="771" width="11.7109375" customWidth="1"/>
    <col min="772" max="772" width="15.7109375" customWidth="1"/>
    <col min="773" max="773" width="12.7109375" customWidth="1"/>
    <col min="774" max="776" width="17.7109375" customWidth="1"/>
    <col min="1025" max="1025" width="15.85546875" bestFit="1" customWidth="1"/>
    <col min="1026" max="1026" width="38.5703125" bestFit="1" customWidth="1"/>
    <col min="1027" max="1027" width="11.7109375" customWidth="1"/>
    <col min="1028" max="1028" width="15.7109375" customWidth="1"/>
    <col min="1029" max="1029" width="12.7109375" customWidth="1"/>
    <col min="1030" max="1032" width="17.7109375" customWidth="1"/>
    <col min="1281" max="1281" width="15.85546875" bestFit="1" customWidth="1"/>
    <col min="1282" max="1282" width="38.5703125" bestFit="1" customWidth="1"/>
    <col min="1283" max="1283" width="11.7109375" customWidth="1"/>
    <col min="1284" max="1284" width="15.7109375" customWidth="1"/>
    <col min="1285" max="1285" width="12.7109375" customWidth="1"/>
    <col min="1286" max="1288" width="17.7109375" customWidth="1"/>
    <col min="1537" max="1537" width="15.85546875" bestFit="1" customWidth="1"/>
    <col min="1538" max="1538" width="38.5703125" bestFit="1" customWidth="1"/>
    <col min="1539" max="1539" width="11.7109375" customWidth="1"/>
    <col min="1540" max="1540" width="15.7109375" customWidth="1"/>
    <col min="1541" max="1541" width="12.7109375" customWidth="1"/>
    <col min="1542" max="1544" width="17.7109375" customWidth="1"/>
    <col min="1793" max="1793" width="15.85546875" bestFit="1" customWidth="1"/>
    <col min="1794" max="1794" width="38.5703125" bestFit="1" customWidth="1"/>
    <col min="1795" max="1795" width="11.7109375" customWidth="1"/>
    <col min="1796" max="1796" width="15.7109375" customWidth="1"/>
    <col min="1797" max="1797" width="12.7109375" customWidth="1"/>
    <col min="1798" max="1800" width="17.7109375" customWidth="1"/>
    <col min="2049" max="2049" width="15.85546875" bestFit="1" customWidth="1"/>
    <col min="2050" max="2050" width="38.5703125" bestFit="1" customWidth="1"/>
    <col min="2051" max="2051" width="11.7109375" customWidth="1"/>
    <col min="2052" max="2052" width="15.7109375" customWidth="1"/>
    <col min="2053" max="2053" width="12.7109375" customWidth="1"/>
    <col min="2054" max="2056" width="17.7109375" customWidth="1"/>
    <col min="2305" max="2305" width="15.85546875" bestFit="1" customWidth="1"/>
    <col min="2306" max="2306" width="38.5703125" bestFit="1" customWidth="1"/>
    <col min="2307" max="2307" width="11.7109375" customWidth="1"/>
    <col min="2308" max="2308" width="15.7109375" customWidth="1"/>
    <col min="2309" max="2309" width="12.7109375" customWidth="1"/>
    <col min="2310" max="2312" width="17.7109375" customWidth="1"/>
    <col min="2561" max="2561" width="15.85546875" bestFit="1" customWidth="1"/>
    <col min="2562" max="2562" width="38.5703125" bestFit="1" customWidth="1"/>
    <col min="2563" max="2563" width="11.7109375" customWidth="1"/>
    <col min="2564" max="2564" width="15.7109375" customWidth="1"/>
    <col min="2565" max="2565" width="12.7109375" customWidth="1"/>
    <col min="2566" max="2568" width="17.7109375" customWidth="1"/>
    <col min="2817" max="2817" width="15.85546875" bestFit="1" customWidth="1"/>
    <col min="2818" max="2818" width="38.5703125" bestFit="1" customWidth="1"/>
    <col min="2819" max="2819" width="11.7109375" customWidth="1"/>
    <col min="2820" max="2820" width="15.7109375" customWidth="1"/>
    <col min="2821" max="2821" width="12.7109375" customWidth="1"/>
    <col min="2822" max="2824" width="17.7109375" customWidth="1"/>
    <col min="3073" max="3073" width="15.85546875" bestFit="1" customWidth="1"/>
    <col min="3074" max="3074" width="38.5703125" bestFit="1" customWidth="1"/>
    <col min="3075" max="3075" width="11.7109375" customWidth="1"/>
    <col min="3076" max="3076" width="15.7109375" customWidth="1"/>
    <col min="3077" max="3077" width="12.7109375" customWidth="1"/>
    <col min="3078" max="3080" width="17.7109375" customWidth="1"/>
    <col min="3329" max="3329" width="15.85546875" bestFit="1" customWidth="1"/>
    <col min="3330" max="3330" width="38.5703125" bestFit="1" customWidth="1"/>
    <col min="3331" max="3331" width="11.7109375" customWidth="1"/>
    <col min="3332" max="3332" width="15.7109375" customWidth="1"/>
    <col min="3333" max="3333" width="12.7109375" customWidth="1"/>
    <col min="3334" max="3336" width="17.7109375" customWidth="1"/>
    <col min="3585" max="3585" width="15.85546875" bestFit="1" customWidth="1"/>
    <col min="3586" max="3586" width="38.5703125" bestFit="1" customWidth="1"/>
    <col min="3587" max="3587" width="11.7109375" customWidth="1"/>
    <col min="3588" max="3588" width="15.7109375" customWidth="1"/>
    <col min="3589" max="3589" width="12.7109375" customWidth="1"/>
    <col min="3590" max="3592" width="17.7109375" customWidth="1"/>
    <col min="3841" max="3841" width="15.85546875" bestFit="1" customWidth="1"/>
    <col min="3842" max="3842" width="38.5703125" bestFit="1" customWidth="1"/>
    <col min="3843" max="3843" width="11.7109375" customWidth="1"/>
    <col min="3844" max="3844" width="15.7109375" customWidth="1"/>
    <col min="3845" max="3845" width="12.7109375" customWidth="1"/>
    <col min="3846" max="3848" width="17.7109375" customWidth="1"/>
    <col min="4097" max="4097" width="15.85546875" bestFit="1" customWidth="1"/>
    <col min="4098" max="4098" width="38.5703125" bestFit="1" customWidth="1"/>
    <col min="4099" max="4099" width="11.7109375" customWidth="1"/>
    <col min="4100" max="4100" width="15.7109375" customWidth="1"/>
    <col min="4101" max="4101" width="12.7109375" customWidth="1"/>
    <col min="4102" max="4104" width="17.7109375" customWidth="1"/>
    <col min="4353" max="4353" width="15.85546875" bestFit="1" customWidth="1"/>
    <col min="4354" max="4354" width="38.5703125" bestFit="1" customWidth="1"/>
    <col min="4355" max="4355" width="11.7109375" customWidth="1"/>
    <col min="4356" max="4356" width="15.7109375" customWidth="1"/>
    <col min="4357" max="4357" width="12.7109375" customWidth="1"/>
    <col min="4358" max="4360" width="17.7109375" customWidth="1"/>
    <col min="4609" max="4609" width="15.85546875" bestFit="1" customWidth="1"/>
    <col min="4610" max="4610" width="38.5703125" bestFit="1" customWidth="1"/>
    <col min="4611" max="4611" width="11.7109375" customWidth="1"/>
    <col min="4612" max="4612" width="15.7109375" customWidth="1"/>
    <col min="4613" max="4613" width="12.7109375" customWidth="1"/>
    <col min="4614" max="4616" width="17.7109375" customWidth="1"/>
    <col min="4865" max="4865" width="15.85546875" bestFit="1" customWidth="1"/>
    <col min="4866" max="4866" width="38.5703125" bestFit="1" customWidth="1"/>
    <col min="4867" max="4867" width="11.7109375" customWidth="1"/>
    <col min="4868" max="4868" width="15.7109375" customWidth="1"/>
    <col min="4869" max="4869" width="12.7109375" customWidth="1"/>
    <col min="4870" max="4872" width="17.7109375" customWidth="1"/>
    <col min="5121" max="5121" width="15.85546875" bestFit="1" customWidth="1"/>
    <col min="5122" max="5122" width="38.5703125" bestFit="1" customWidth="1"/>
    <col min="5123" max="5123" width="11.7109375" customWidth="1"/>
    <col min="5124" max="5124" width="15.7109375" customWidth="1"/>
    <col min="5125" max="5125" width="12.7109375" customWidth="1"/>
    <col min="5126" max="5128" width="17.7109375" customWidth="1"/>
    <col min="5377" max="5377" width="15.85546875" bestFit="1" customWidth="1"/>
    <col min="5378" max="5378" width="38.5703125" bestFit="1" customWidth="1"/>
    <col min="5379" max="5379" width="11.7109375" customWidth="1"/>
    <col min="5380" max="5380" width="15.7109375" customWidth="1"/>
    <col min="5381" max="5381" width="12.7109375" customWidth="1"/>
    <col min="5382" max="5384" width="17.7109375" customWidth="1"/>
    <col min="5633" max="5633" width="15.85546875" bestFit="1" customWidth="1"/>
    <col min="5634" max="5634" width="38.5703125" bestFit="1" customWidth="1"/>
    <col min="5635" max="5635" width="11.7109375" customWidth="1"/>
    <col min="5636" max="5636" width="15.7109375" customWidth="1"/>
    <col min="5637" max="5637" width="12.7109375" customWidth="1"/>
    <col min="5638" max="5640" width="17.7109375" customWidth="1"/>
    <col min="5889" max="5889" width="15.85546875" bestFit="1" customWidth="1"/>
    <col min="5890" max="5890" width="38.5703125" bestFit="1" customWidth="1"/>
    <col min="5891" max="5891" width="11.7109375" customWidth="1"/>
    <col min="5892" max="5892" width="15.7109375" customWidth="1"/>
    <col min="5893" max="5893" width="12.7109375" customWidth="1"/>
    <col min="5894" max="5896" width="17.7109375" customWidth="1"/>
    <col min="6145" max="6145" width="15.85546875" bestFit="1" customWidth="1"/>
    <col min="6146" max="6146" width="38.5703125" bestFit="1" customWidth="1"/>
    <col min="6147" max="6147" width="11.7109375" customWidth="1"/>
    <col min="6148" max="6148" width="15.7109375" customWidth="1"/>
    <col min="6149" max="6149" width="12.7109375" customWidth="1"/>
    <col min="6150" max="6152" width="17.7109375" customWidth="1"/>
    <col min="6401" max="6401" width="15.85546875" bestFit="1" customWidth="1"/>
    <col min="6402" max="6402" width="38.5703125" bestFit="1" customWidth="1"/>
    <col min="6403" max="6403" width="11.7109375" customWidth="1"/>
    <col min="6404" max="6404" width="15.7109375" customWidth="1"/>
    <col min="6405" max="6405" width="12.7109375" customWidth="1"/>
    <col min="6406" max="6408" width="17.7109375" customWidth="1"/>
    <col min="6657" max="6657" width="15.85546875" bestFit="1" customWidth="1"/>
    <col min="6658" max="6658" width="38.5703125" bestFit="1" customWidth="1"/>
    <col min="6659" max="6659" width="11.7109375" customWidth="1"/>
    <col min="6660" max="6660" width="15.7109375" customWidth="1"/>
    <col min="6661" max="6661" width="12.7109375" customWidth="1"/>
    <col min="6662" max="6664" width="17.7109375" customWidth="1"/>
    <col min="6913" max="6913" width="15.85546875" bestFit="1" customWidth="1"/>
    <col min="6914" max="6914" width="38.5703125" bestFit="1" customWidth="1"/>
    <col min="6915" max="6915" width="11.7109375" customWidth="1"/>
    <col min="6916" max="6916" width="15.7109375" customWidth="1"/>
    <col min="6917" max="6917" width="12.7109375" customWidth="1"/>
    <col min="6918" max="6920" width="17.7109375" customWidth="1"/>
    <col min="7169" max="7169" width="15.85546875" bestFit="1" customWidth="1"/>
    <col min="7170" max="7170" width="38.5703125" bestFit="1" customWidth="1"/>
    <col min="7171" max="7171" width="11.7109375" customWidth="1"/>
    <col min="7172" max="7172" width="15.7109375" customWidth="1"/>
    <col min="7173" max="7173" width="12.7109375" customWidth="1"/>
    <col min="7174" max="7176" width="17.7109375" customWidth="1"/>
    <col min="7425" max="7425" width="15.85546875" bestFit="1" customWidth="1"/>
    <col min="7426" max="7426" width="38.5703125" bestFit="1" customWidth="1"/>
    <col min="7427" max="7427" width="11.7109375" customWidth="1"/>
    <col min="7428" max="7428" width="15.7109375" customWidth="1"/>
    <col min="7429" max="7429" width="12.7109375" customWidth="1"/>
    <col min="7430" max="7432" width="17.7109375" customWidth="1"/>
    <col min="7681" max="7681" width="15.85546875" bestFit="1" customWidth="1"/>
    <col min="7682" max="7682" width="38.5703125" bestFit="1" customWidth="1"/>
    <col min="7683" max="7683" width="11.7109375" customWidth="1"/>
    <col min="7684" max="7684" width="15.7109375" customWidth="1"/>
    <col min="7685" max="7685" width="12.7109375" customWidth="1"/>
    <col min="7686" max="7688" width="17.7109375" customWidth="1"/>
    <col min="7937" max="7937" width="15.85546875" bestFit="1" customWidth="1"/>
    <col min="7938" max="7938" width="38.5703125" bestFit="1" customWidth="1"/>
    <col min="7939" max="7939" width="11.7109375" customWidth="1"/>
    <col min="7940" max="7940" width="15.7109375" customWidth="1"/>
    <col min="7941" max="7941" width="12.7109375" customWidth="1"/>
    <col min="7942" max="7944" width="17.7109375" customWidth="1"/>
    <col min="8193" max="8193" width="15.85546875" bestFit="1" customWidth="1"/>
    <col min="8194" max="8194" width="38.5703125" bestFit="1" customWidth="1"/>
    <col min="8195" max="8195" width="11.7109375" customWidth="1"/>
    <col min="8196" max="8196" width="15.7109375" customWidth="1"/>
    <col min="8197" max="8197" width="12.7109375" customWidth="1"/>
    <col min="8198" max="8200" width="17.7109375" customWidth="1"/>
    <col min="8449" max="8449" width="15.85546875" bestFit="1" customWidth="1"/>
    <col min="8450" max="8450" width="38.5703125" bestFit="1" customWidth="1"/>
    <col min="8451" max="8451" width="11.7109375" customWidth="1"/>
    <col min="8452" max="8452" width="15.7109375" customWidth="1"/>
    <col min="8453" max="8453" width="12.7109375" customWidth="1"/>
    <col min="8454" max="8456" width="17.7109375" customWidth="1"/>
    <col min="8705" max="8705" width="15.85546875" bestFit="1" customWidth="1"/>
    <col min="8706" max="8706" width="38.5703125" bestFit="1" customWidth="1"/>
    <col min="8707" max="8707" width="11.7109375" customWidth="1"/>
    <col min="8708" max="8708" width="15.7109375" customWidth="1"/>
    <col min="8709" max="8709" width="12.7109375" customWidth="1"/>
    <col min="8710" max="8712" width="17.7109375" customWidth="1"/>
    <col min="8961" max="8961" width="15.85546875" bestFit="1" customWidth="1"/>
    <col min="8962" max="8962" width="38.5703125" bestFit="1" customWidth="1"/>
    <col min="8963" max="8963" width="11.7109375" customWidth="1"/>
    <col min="8964" max="8964" width="15.7109375" customWidth="1"/>
    <col min="8965" max="8965" width="12.7109375" customWidth="1"/>
    <col min="8966" max="8968" width="17.7109375" customWidth="1"/>
    <col min="9217" max="9217" width="15.85546875" bestFit="1" customWidth="1"/>
    <col min="9218" max="9218" width="38.5703125" bestFit="1" customWidth="1"/>
    <col min="9219" max="9219" width="11.7109375" customWidth="1"/>
    <col min="9220" max="9220" width="15.7109375" customWidth="1"/>
    <col min="9221" max="9221" width="12.7109375" customWidth="1"/>
    <col min="9222" max="9224" width="17.7109375" customWidth="1"/>
    <col min="9473" max="9473" width="15.85546875" bestFit="1" customWidth="1"/>
    <col min="9474" max="9474" width="38.5703125" bestFit="1" customWidth="1"/>
    <col min="9475" max="9475" width="11.7109375" customWidth="1"/>
    <col min="9476" max="9476" width="15.7109375" customWidth="1"/>
    <col min="9477" max="9477" width="12.7109375" customWidth="1"/>
    <col min="9478" max="9480" width="17.7109375" customWidth="1"/>
    <col min="9729" max="9729" width="15.85546875" bestFit="1" customWidth="1"/>
    <col min="9730" max="9730" width="38.5703125" bestFit="1" customWidth="1"/>
    <col min="9731" max="9731" width="11.7109375" customWidth="1"/>
    <col min="9732" max="9732" width="15.7109375" customWidth="1"/>
    <col min="9733" max="9733" width="12.7109375" customWidth="1"/>
    <col min="9734" max="9736" width="17.7109375" customWidth="1"/>
    <col min="9985" max="9985" width="15.85546875" bestFit="1" customWidth="1"/>
    <col min="9986" max="9986" width="38.5703125" bestFit="1" customWidth="1"/>
    <col min="9987" max="9987" width="11.7109375" customWidth="1"/>
    <col min="9988" max="9988" width="15.7109375" customWidth="1"/>
    <col min="9989" max="9989" width="12.7109375" customWidth="1"/>
    <col min="9990" max="9992" width="17.7109375" customWidth="1"/>
    <col min="10241" max="10241" width="15.85546875" bestFit="1" customWidth="1"/>
    <col min="10242" max="10242" width="38.5703125" bestFit="1" customWidth="1"/>
    <col min="10243" max="10243" width="11.7109375" customWidth="1"/>
    <col min="10244" max="10244" width="15.7109375" customWidth="1"/>
    <col min="10245" max="10245" width="12.7109375" customWidth="1"/>
    <col min="10246" max="10248" width="17.7109375" customWidth="1"/>
    <col min="10497" max="10497" width="15.85546875" bestFit="1" customWidth="1"/>
    <col min="10498" max="10498" width="38.5703125" bestFit="1" customWidth="1"/>
    <col min="10499" max="10499" width="11.7109375" customWidth="1"/>
    <col min="10500" max="10500" width="15.7109375" customWidth="1"/>
    <col min="10501" max="10501" width="12.7109375" customWidth="1"/>
    <col min="10502" max="10504" width="17.7109375" customWidth="1"/>
    <col min="10753" max="10753" width="15.85546875" bestFit="1" customWidth="1"/>
    <col min="10754" max="10754" width="38.5703125" bestFit="1" customWidth="1"/>
    <col min="10755" max="10755" width="11.7109375" customWidth="1"/>
    <col min="10756" max="10756" width="15.7109375" customWidth="1"/>
    <col min="10757" max="10757" width="12.7109375" customWidth="1"/>
    <col min="10758" max="10760" width="17.7109375" customWidth="1"/>
    <col min="11009" max="11009" width="15.85546875" bestFit="1" customWidth="1"/>
    <col min="11010" max="11010" width="38.5703125" bestFit="1" customWidth="1"/>
    <col min="11011" max="11011" width="11.7109375" customWidth="1"/>
    <col min="11012" max="11012" width="15.7109375" customWidth="1"/>
    <col min="11013" max="11013" width="12.7109375" customWidth="1"/>
    <col min="11014" max="11016" width="17.7109375" customWidth="1"/>
    <col min="11265" max="11265" width="15.85546875" bestFit="1" customWidth="1"/>
    <col min="11266" max="11266" width="38.5703125" bestFit="1" customWidth="1"/>
    <col min="11267" max="11267" width="11.7109375" customWidth="1"/>
    <col min="11268" max="11268" width="15.7109375" customWidth="1"/>
    <col min="11269" max="11269" width="12.7109375" customWidth="1"/>
    <col min="11270" max="11272" width="17.7109375" customWidth="1"/>
    <col min="11521" max="11521" width="15.85546875" bestFit="1" customWidth="1"/>
    <col min="11522" max="11522" width="38.5703125" bestFit="1" customWidth="1"/>
    <col min="11523" max="11523" width="11.7109375" customWidth="1"/>
    <col min="11524" max="11524" width="15.7109375" customWidth="1"/>
    <col min="11525" max="11525" width="12.7109375" customWidth="1"/>
    <col min="11526" max="11528" width="17.7109375" customWidth="1"/>
    <col min="11777" max="11777" width="15.85546875" bestFit="1" customWidth="1"/>
    <col min="11778" max="11778" width="38.5703125" bestFit="1" customWidth="1"/>
    <col min="11779" max="11779" width="11.7109375" customWidth="1"/>
    <col min="11780" max="11780" width="15.7109375" customWidth="1"/>
    <col min="11781" max="11781" width="12.7109375" customWidth="1"/>
    <col min="11782" max="11784" width="17.7109375" customWidth="1"/>
    <col min="12033" max="12033" width="15.85546875" bestFit="1" customWidth="1"/>
    <col min="12034" max="12034" width="38.5703125" bestFit="1" customWidth="1"/>
    <col min="12035" max="12035" width="11.7109375" customWidth="1"/>
    <col min="12036" max="12036" width="15.7109375" customWidth="1"/>
    <col min="12037" max="12037" width="12.7109375" customWidth="1"/>
    <col min="12038" max="12040" width="17.7109375" customWidth="1"/>
    <col min="12289" max="12289" width="15.85546875" bestFit="1" customWidth="1"/>
    <col min="12290" max="12290" width="38.5703125" bestFit="1" customWidth="1"/>
    <col min="12291" max="12291" width="11.7109375" customWidth="1"/>
    <col min="12292" max="12292" width="15.7109375" customWidth="1"/>
    <col min="12293" max="12293" width="12.7109375" customWidth="1"/>
    <col min="12294" max="12296" width="17.7109375" customWidth="1"/>
    <col min="12545" max="12545" width="15.85546875" bestFit="1" customWidth="1"/>
    <col min="12546" max="12546" width="38.5703125" bestFit="1" customWidth="1"/>
    <col min="12547" max="12547" width="11.7109375" customWidth="1"/>
    <col min="12548" max="12548" width="15.7109375" customWidth="1"/>
    <col min="12549" max="12549" width="12.7109375" customWidth="1"/>
    <col min="12550" max="12552" width="17.7109375" customWidth="1"/>
    <col min="12801" max="12801" width="15.85546875" bestFit="1" customWidth="1"/>
    <col min="12802" max="12802" width="38.5703125" bestFit="1" customWidth="1"/>
    <col min="12803" max="12803" width="11.7109375" customWidth="1"/>
    <col min="12804" max="12804" width="15.7109375" customWidth="1"/>
    <col min="12805" max="12805" width="12.7109375" customWidth="1"/>
    <col min="12806" max="12808" width="17.7109375" customWidth="1"/>
    <col min="13057" max="13057" width="15.85546875" bestFit="1" customWidth="1"/>
    <col min="13058" max="13058" width="38.5703125" bestFit="1" customWidth="1"/>
    <col min="13059" max="13059" width="11.7109375" customWidth="1"/>
    <col min="13060" max="13060" width="15.7109375" customWidth="1"/>
    <col min="13061" max="13061" width="12.7109375" customWidth="1"/>
    <col min="13062" max="13064" width="17.7109375" customWidth="1"/>
    <col min="13313" max="13313" width="15.85546875" bestFit="1" customWidth="1"/>
    <col min="13314" max="13314" width="38.5703125" bestFit="1" customWidth="1"/>
    <col min="13315" max="13315" width="11.7109375" customWidth="1"/>
    <col min="13316" max="13316" width="15.7109375" customWidth="1"/>
    <col min="13317" max="13317" width="12.7109375" customWidth="1"/>
    <col min="13318" max="13320" width="17.7109375" customWidth="1"/>
    <col min="13569" max="13569" width="15.85546875" bestFit="1" customWidth="1"/>
    <col min="13570" max="13570" width="38.5703125" bestFit="1" customWidth="1"/>
    <col min="13571" max="13571" width="11.7109375" customWidth="1"/>
    <col min="13572" max="13572" width="15.7109375" customWidth="1"/>
    <col min="13573" max="13573" width="12.7109375" customWidth="1"/>
    <col min="13574" max="13576" width="17.7109375" customWidth="1"/>
    <col min="13825" max="13825" width="15.85546875" bestFit="1" customWidth="1"/>
    <col min="13826" max="13826" width="38.5703125" bestFit="1" customWidth="1"/>
    <col min="13827" max="13827" width="11.7109375" customWidth="1"/>
    <col min="13828" max="13828" width="15.7109375" customWidth="1"/>
    <col min="13829" max="13829" width="12.7109375" customWidth="1"/>
    <col min="13830" max="13832" width="17.7109375" customWidth="1"/>
    <col min="14081" max="14081" width="15.85546875" bestFit="1" customWidth="1"/>
    <col min="14082" max="14082" width="38.5703125" bestFit="1" customWidth="1"/>
    <col min="14083" max="14083" width="11.7109375" customWidth="1"/>
    <col min="14084" max="14084" width="15.7109375" customWidth="1"/>
    <col min="14085" max="14085" width="12.7109375" customWidth="1"/>
    <col min="14086" max="14088" width="17.7109375" customWidth="1"/>
    <col min="14337" max="14337" width="15.85546875" bestFit="1" customWidth="1"/>
    <col min="14338" max="14338" width="38.5703125" bestFit="1" customWidth="1"/>
    <col min="14339" max="14339" width="11.7109375" customWidth="1"/>
    <col min="14340" max="14340" width="15.7109375" customWidth="1"/>
    <col min="14341" max="14341" width="12.7109375" customWidth="1"/>
    <col min="14342" max="14344" width="17.7109375" customWidth="1"/>
    <col min="14593" max="14593" width="15.85546875" bestFit="1" customWidth="1"/>
    <col min="14594" max="14594" width="38.5703125" bestFit="1" customWidth="1"/>
    <col min="14595" max="14595" width="11.7109375" customWidth="1"/>
    <col min="14596" max="14596" width="15.7109375" customWidth="1"/>
    <col min="14597" max="14597" width="12.7109375" customWidth="1"/>
    <col min="14598" max="14600" width="17.7109375" customWidth="1"/>
    <col min="14849" max="14849" width="15.85546875" bestFit="1" customWidth="1"/>
    <col min="14850" max="14850" width="38.5703125" bestFit="1" customWidth="1"/>
    <col min="14851" max="14851" width="11.7109375" customWidth="1"/>
    <col min="14852" max="14852" width="15.7109375" customWidth="1"/>
    <col min="14853" max="14853" width="12.7109375" customWidth="1"/>
    <col min="14854" max="14856" width="17.7109375" customWidth="1"/>
    <col min="15105" max="15105" width="15.85546875" bestFit="1" customWidth="1"/>
    <col min="15106" max="15106" width="38.5703125" bestFit="1" customWidth="1"/>
    <col min="15107" max="15107" width="11.7109375" customWidth="1"/>
    <col min="15108" max="15108" width="15.7109375" customWidth="1"/>
    <col min="15109" max="15109" width="12.7109375" customWidth="1"/>
    <col min="15110" max="15112" width="17.7109375" customWidth="1"/>
    <col min="15361" max="15361" width="15.85546875" bestFit="1" customWidth="1"/>
    <col min="15362" max="15362" width="38.5703125" bestFit="1" customWidth="1"/>
    <col min="15363" max="15363" width="11.7109375" customWidth="1"/>
    <col min="15364" max="15364" width="15.7109375" customWidth="1"/>
    <col min="15365" max="15365" width="12.7109375" customWidth="1"/>
    <col min="15366" max="15368" width="17.7109375" customWidth="1"/>
    <col min="15617" max="15617" width="15.85546875" bestFit="1" customWidth="1"/>
    <col min="15618" max="15618" width="38.5703125" bestFit="1" customWidth="1"/>
    <col min="15619" max="15619" width="11.7109375" customWidth="1"/>
    <col min="15620" max="15620" width="15.7109375" customWidth="1"/>
    <col min="15621" max="15621" width="12.7109375" customWidth="1"/>
    <col min="15622" max="15624" width="17.7109375" customWidth="1"/>
    <col min="15873" max="15873" width="15.85546875" bestFit="1" customWidth="1"/>
    <col min="15874" max="15874" width="38.5703125" bestFit="1" customWidth="1"/>
    <col min="15875" max="15875" width="11.7109375" customWidth="1"/>
    <col min="15876" max="15876" width="15.7109375" customWidth="1"/>
    <col min="15877" max="15877" width="12.7109375" customWidth="1"/>
    <col min="15878" max="15880" width="17.7109375" customWidth="1"/>
    <col min="16129" max="16129" width="15.85546875" bestFit="1" customWidth="1"/>
    <col min="16130" max="16130" width="38.5703125" bestFit="1" customWidth="1"/>
    <col min="16131" max="16131" width="11.7109375" customWidth="1"/>
    <col min="16132" max="16132" width="15.7109375" customWidth="1"/>
    <col min="16133" max="16133" width="12.7109375" customWidth="1"/>
    <col min="16134" max="16136" width="17.7109375" customWidth="1"/>
  </cols>
  <sheetData>
    <row r="1" spans="1:8" ht="36" customHeight="1" thickBot="1" x14ac:dyDescent="0.25">
      <c r="A1" s="63" t="s">
        <v>9</v>
      </c>
      <c r="B1" s="64"/>
      <c r="C1" s="64"/>
      <c r="D1" s="64"/>
      <c r="E1" s="64"/>
      <c r="F1" s="64"/>
      <c r="G1" s="64"/>
      <c r="H1" s="65"/>
    </row>
    <row r="2" spans="1:8" s="20" customFormat="1" ht="9" customHeight="1" thickBot="1" x14ac:dyDescent="0.3">
      <c r="A2" s="16"/>
      <c r="B2" s="17"/>
      <c r="C2" s="51"/>
      <c r="D2" s="51"/>
      <c r="E2" s="18"/>
      <c r="F2" s="18"/>
      <c r="G2" s="18"/>
      <c r="H2" s="19"/>
    </row>
    <row r="3" spans="1:8" x14ac:dyDescent="0.2">
      <c r="A3" s="21" t="s">
        <v>1</v>
      </c>
      <c r="B3" s="22" t="s">
        <v>2</v>
      </c>
      <c r="C3" s="53" t="s">
        <v>3</v>
      </c>
      <c r="D3" s="54" t="s">
        <v>4</v>
      </c>
      <c r="E3" s="23" t="s">
        <v>10</v>
      </c>
      <c r="F3" s="23" t="s">
        <v>6</v>
      </c>
      <c r="G3" s="24" t="s">
        <v>7</v>
      </c>
      <c r="H3" s="25" t="s">
        <v>11</v>
      </c>
    </row>
    <row r="4" spans="1:8" x14ac:dyDescent="0.2">
      <c r="A4" s="32">
        <v>67</v>
      </c>
      <c r="B4" s="27" t="s">
        <v>12</v>
      </c>
      <c r="C4" s="55">
        <v>1.2075</v>
      </c>
      <c r="D4" s="55">
        <v>0.54337500000000005</v>
      </c>
      <c r="E4" s="28" t="s">
        <v>954</v>
      </c>
      <c r="F4" s="55">
        <v>0.50533875000000006</v>
      </c>
      <c r="G4" s="29">
        <v>44652</v>
      </c>
      <c r="H4" s="30">
        <v>44926</v>
      </c>
    </row>
    <row r="5" spans="1:8" x14ac:dyDescent="0.2">
      <c r="A5" s="32">
        <v>1156</v>
      </c>
      <c r="B5" s="27" t="s">
        <v>13</v>
      </c>
      <c r="C5" s="55">
        <v>1.2389999999999999</v>
      </c>
      <c r="D5" s="55">
        <v>0.55754999999999999</v>
      </c>
      <c r="E5" s="28" t="s">
        <v>954</v>
      </c>
      <c r="F5" s="55">
        <v>0.51852149999999997</v>
      </c>
      <c r="G5" s="29">
        <v>44652</v>
      </c>
      <c r="H5" s="30">
        <v>44926</v>
      </c>
    </row>
    <row r="6" spans="1:8" x14ac:dyDescent="0.2">
      <c r="A6" s="32">
        <v>1662</v>
      </c>
      <c r="B6" s="27" t="s">
        <v>968</v>
      </c>
      <c r="C6" s="55">
        <v>4.7250000000000005</v>
      </c>
      <c r="D6" s="55">
        <v>2.1262500000000002</v>
      </c>
      <c r="E6" s="28" t="s">
        <v>954</v>
      </c>
      <c r="F6" s="55">
        <v>1.9774125000000002</v>
      </c>
      <c r="G6" s="29">
        <v>44652</v>
      </c>
      <c r="H6" s="30">
        <v>44926</v>
      </c>
    </row>
    <row r="7" spans="1:8" x14ac:dyDescent="0.2">
      <c r="A7" s="32">
        <v>1665</v>
      </c>
      <c r="B7" s="27" t="s">
        <v>14</v>
      </c>
      <c r="C7" s="55">
        <v>10.216500000000002</v>
      </c>
      <c r="D7" s="55">
        <v>4.5974250000000012</v>
      </c>
      <c r="E7" s="28" t="s">
        <v>954</v>
      </c>
      <c r="F7" s="55">
        <v>4.2756052500000017</v>
      </c>
      <c r="G7" s="29">
        <v>44652</v>
      </c>
      <c r="H7" s="30">
        <v>44926</v>
      </c>
    </row>
    <row r="8" spans="1:8" x14ac:dyDescent="0.2">
      <c r="A8" s="32">
        <v>1683</v>
      </c>
      <c r="B8" s="27" t="s">
        <v>964</v>
      </c>
      <c r="C8" s="55">
        <v>8.4600000000000009</v>
      </c>
      <c r="D8" s="55">
        <v>3.8070000000000004</v>
      </c>
      <c r="E8" s="28" t="s">
        <v>954</v>
      </c>
      <c r="F8" s="55">
        <v>3.5405100000000007</v>
      </c>
      <c r="G8" s="29">
        <v>44652</v>
      </c>
      <c r="H8" s="30">
        <v>44926</v>
      </c>
    </row>
    <row r="9" spans="1:8" x14ac:dyDescent="0.2">
      <c r="A9" s="32">
        <v>4411</v>
      </c>
      <c r="B9" s="27" t="s">
        <v>965</v>
      </c>
      <c r="C9" s="55">
        <v>16.516500000000001</v>
      </c>
      <c r="D9" s="55">
        <v>7.4324250000000003</v>
      </c>
      <c r="E9" s="28" t="s">
        <v>954</v>
      </c>
      <c r="F9" s="55">
        <v>6.9121552500000005</v>
      </c>
      <c r="G9" s="29">
        <v>44652</v>
      </c>
      <c r="H9" s="30">
        <v>44926</v>
      </c>
    </row>
    <row r="10" spans="1:8" x14ac:dyDescent="0.2">
      <c r="A10" s="32">
        <v>4416</v>
      </c>
      <c r="B10" s="27" t="s">
        <v>15</v>
      </c>
      <c r="C10" s="55">
        <v>15.7605</v>
      </c>
      <c r="D10" s="55">
        <v>7.092225</v>
      </c>
      <c r="E10" s="28" t="s">
        <v>954</v>
      </c>
      <c r="F10" s="55">
        <v>6.59576925</v>
      </c>
      <c r="G10" s="29">
        <v>44652</v>
      </c>
      <c r="H10" s="30">
        <v>44926</v>
      </c>
    </row>
    <row r="11" spans="1:8" x14ac:dyDescent="0.2">
      <c r="A11" s="32">
        <v>4466</v>
      </c>
      <c r="B11" s="27" t="s">
        <v>16</v>
      </c>
      <c r="C11" s="55">
        <v>15.7605</v>
      </c>
      <c r="D11" s="55">
        <v>7.092225</v>
      </c>
      <c r="E11" s="28" t="s">
        <v>954</v>
      </c>
      <c r="F11" s="55">
        <v>6.59576925</v>
      </c>
      <c r="G11" s="29">
        <v>44652</v>
      </c>
      <c r="H11" s="30">
        <v>44926</v>
      </c>
    </row>
    <row r="12" spans="1:8" x14ac:dyDescent="0.2">
      <c r="A12" s="32">
        <v>4593</v>
      </c>
      <c r="B12" s="27" t="s">
        <v>17</v>
      </c>
      <c r="C12" s="55">
        <v>41.03</v>
      </c>
      <c r="D12" s="55">
        <v>18.4635</v>
      </c>
      <c r="E12" s="28" t="s">
        <v>954</v>
      </c>
      <c r="F12" s="55">
        <v>17.171054999999999</v>
      </c>
      <c r="G12" s="29">
        <v>44652</v>
      </c>
      <c r="H12" s="30">
        <v>44926</v>
      </c>
    </row>
    <row r="13" spans="1:8" x14ac:dyDescent="0.2">
      <c r="A13" s="32">
        <v>17387</v>
      </c>
      <c r="B13" s="27" t="s">
        <v>18</v>
      </c>
      <c r="C13" s="55">
        <v>20.674500000000002</v>
      </c>
      <c r="D13" s="55">
        <v>9.3035250000000005</v>
      </c>
      <c r="E13" s="28" t="s">
        <v>8</v>
      </c>
      <c r="F13" s="55"/>
      <c r="G13" s="29">
        <v>44652</v>
      </c>
      <c r="H13" s="30">
        <v>44926</v>
      </c>
    </row>
    <row r="14" spans="1:8" x14ac:dyDescent="0.2">
      <c r="A14" s="32">
        <v>18329</v>
      </c>
      <c r="B14" s="27" t="s">
        <v>19</v>
      </c>
      <c r="C14" s="55">
        <v>0.65100000000000002</v>
      </c>
      <c r="D14" s="55">
        <v>0.29295000000000004</v>
      </c>
      <c r="E14" s="28" t="s">
        <v>8</v>
      </c>
      <c r="F14" s="55"/>
      <c r="G14" s="29">
        <v>44652</v>
      </c>
      <c r="H14" s="30">
        <v>44926</v>
      </c>
    </row>
    <row r="15" spans="1:8" x14ac:dyDescent="0.2">
      <c r="A15" s="32">
        <v>18675</v>
      </c>
      <c r="B15" s="27" t="s">
        <v>1001</v>
      </c>
      <c r="C15" s="55">
        <v>43.84</v>
      </c>
      <c r="D15" s="55">
        <v>19.728000000000002</v>
      </c>
      <c r="E15" s="28" t="s">
        <v>8</v>
      </c>
      <c r="F15" s="55"/>
      <c r="G15" s="29">
        <v>44652</v>
      </c>
      <c r="H15" s="30">
        <v>44926</v>
      </c>
    </row>
    <row r="16" spans="1:8" x14ac:dyDescent="0.2">
      <c r="A16" s="32">
        <v>27904</v>
      </c>
      <c r="B16" s="27" t="s">
        <v>1277</v>
      </c>
      <c r="C16" s="55">
        <v>50</v>
      </c>
      <c r="D16" s="55">
        <v>22.5</v>
      </c>
      <c r="E16" s="28"/>
      <c r="F16" s="55"/>
      <c r="G16" s="29">
        <v>44652</v>
      </c>
      <c r="H16" s="30">
        <v>44926</v>
      </c>
    </row>
    <row r="17" spans="1:8" x14ac:dyDescent="0.2">
      <c r="A17" s="32">
        <v>200011</v>
      </c>
      <c r="B17" s="27" t="s">
        <v>20</v>
      </c>
      <c r="C17" s="55">
        <v>18.149999999999999</v>
      </c>
      <c r="D17" s="55">
        <v>8.1675000000000004</v>
      </c>
      <c r="E17" s="28" t="s">
        <v>954</v>
      </c>
      <c r="F17" s="55">
        <v>7.5957750000000006</v>
      </c>
      <c r="G17" s="29">
        <v>44652</v>
      </c>
      <c r="H17" s="30">
        <v>44926</v>
      </c>
    </row>
    <row r="18" spans="1:8" x14ac:dyDescent="0.2">
      <c r="A18" s="32">
        <v>200012</v>
      </c>
      <c r="B18" s="27" t="s">
        <v>21</v>
      </c>
      <c r="C18" s="55">
        <v>18.73</v>
      </c>
      <c r="D18" s="55">
        <v>8.4284999999999997</v>
      </c>
      <c r="E18" s="28" t="s">
        <v>954</v>
      </c>
      <c r="F18" s="55">
        <v>7.8385050000000005</v>
      </c>
      <c r="G18" s="29">
        <v>44652</v>
      </c>
      <c r="H18" s="30">
        <v>44926</v>
      </c>
    </row>
    <row r="19" spans="1:8" x14ac:dyDescent="0.2">
      <c r="A19" s="32">
        <v>200013</v>
      </c>
      <c r="B19" s="27" t="s">
        <v>22</v>
      </c>
      <c r="C19" s="55">
        <v>78.55</v>
      </c>
      <c r="D19" s="55">
        <v>35.347499999999997</v>
      </c>
      <c r="E19" s="28" t="s">
        <v>954</v>
      </c>
      <c r="F19" s="55">
        <v>32.873174999999996</v>
      </c>
      <c r="G19" s="29">
        <v>44652</v>
      </c>
      <c r="H19" s="30">
        <v>44926</v>
      </c>
    </row>
    <row r="20" spans="1:8" x14ac:dyDescent="0.2">
      <c r="A20" s="32">
        <v>200015</v>
      </c>
      <c r="B20" s="27" t="s">
        <v>23</v>
      </c>
      <c r="C20" s="55">
        <v>142.30000000000001</v>
      </c>
      <c r="D20" s="55">
        <v>64.035000000000011</v>
      </c>
      <c r="E20" s="28" t="s">
        <v>954</v>
      </c>
      <c r="F20" s="55">
        <v>59.552550000000011</v>
      </c>
      <c r="G20" s="29">
        <v>44652</v>
      </c>
      <c r="H20" s="30">
        <v>44926</v>
      </c>
    </row>
    <row r="21" spans="1:8" x14ac:dyDescent="0.2">
      <c r="A21" s="32">
        <v>200017</v>
      </c>
      <c r="B21" s="27" t="s">
        <v>24</v>
      </c>
      <c r="C21" s="55">
        <v>16.079999999999998</v>
      </c>
      <c r="D21" s="55">
        <v>7.2359999999999998</v>
      </c>
      <c r="E21" s="28" t="s">
        <v>954</v>
      </c>
      <c r="F21" s="55">
        <v>6.7294800000000006</v>
      </c>
      <c r="G21" s="29">
        <v>44652</v>
      </c>
      <c r="H21" s="30">
        <v>44926</v>
      </c>
    </row>
    <row r="22" spans="1:8" x14ac:dyDescent="0.2">
      <c r="A22" s="32">
        <v>200018</v>
      </c>
      <c r="B22" s="27" t="s">
        <v>25</v>
      </c>
      <c r="C22" s="55">
        <v>20.93</v>
      </c>
      <c r="D22" s="55">
        <v>9.4184999999999999</v>
      </c>
      <c r="E22" s="28" t="s">
        <v>954</v>
      </c>
      <c r="F22" s="55">
        <v>8.7592049999999997</v>
      </c>
      <c r="G22" s="29">
        <v>44652</v>
      </c>
      <c r="H22" s="30">
        <v>44926</v>
      </c>
    </row>
    <row r="23" spans="1:8" x14ac:dyDescent="0.2">
      <c r="A23" s="32">
        <v>200023</v>
      </c>
      <c r="B23" s="27" t="s">
        <v>26</v>
      </c>
      <c r="C23" s="55">
        <v>21.17</v>
      </c>
      <c r="D23" s="55">
        <v>9.5265000000000004</v>
      </c>
      <c r="E23" s="28" t="s">
        <v>954</v>
      </c>
      <c r="F23" s="55">
        <v>8.8596450000000004</v>
      </c>
      <c r="G23" s="29">
        <v>44652</v>
      </c>
      <c r="H23" s="30">
        <v>44926</v>
      </c>
    </row>
    <row r="24" spans="1:8" x14ac:dyDescent="0.2">
      <c r="A24" s="32">
        <v>200024</v>
      </c>
      <c r="B24" s="27" t="s">
        <v>27</v>
      </c>
      <c r="C24" s="55">
        <v>22.75</v>
      </c>
      <c r="D24" s="55">
        <v>10.237500000000001</v>
      </c>
      <c r="E24" s="28" t="s">
        <v>954</v>
      </c>
      <c r="F24" s="55">
        <v>9.520875000000002</v>
      </c>
      <c r="G24" s="29">
        <v>44652</v>
      </c>
      <c r="H24" s="30">
        <v>44926</v>
      </c>
    </row>
    <row r="25" spans="1:8" x14ac:dyDescent="0.2">
      <c r="A25" s="32">
        <v>200211</v>
      </c>
      <c r="B25" s="27" t="s">
        <v>28</v>
      </c>
      <c r="C25" s="55">
        <v>36.477000000000004</v>
      </c>
      <c r="D25" s="55">
        <v>16.414650000000002</v>
      </c>
      <c r="E25" s="28" t="s">
        <v>954</v>
      </c>
      <c r="F25" s="55">
        <v>15.265624500000003</v>
      </c>
      <c r="G25" s="29">
        <v>44652</v>
      </c>
      <c r="H25" s="30">
        <v>44926</v>
      </c>
    </row>
    <row r="26" spans="1:8" x14ac:dyDescent="0.2">
      <c r="A26" s="32">
        <v>200212</v>
      </c>
      <c r="B26" s="27" t="s">
        <v>29</v>
      </c>
      <c r="C26" s="55">
        <v>41.4</v>
      </c>
      <c r="D26" s="55">
        <v>18.63</v>
      </c>
      <c r="E26" s="28" t="s">
        <v>954</v>
      </c>
      <c r="F26" s="55">
        <v>17.325900000000001</v>
      </c>
      <c r="G26" s="29">
        <v>44652</v>
      </c>
      <c r="H26" s="30">
        <v>44926</v>
      </c>
    </row>
    <row r="27" spans="1:8" x14ac:dyDescent="0.2">
      <c r="A27" s="32">
        <v>200213</v>
      </c>
      <c r="B27" s="27" t="s">
        <v>30</v>
      </c>
      <c r="C27" s="55">
        <v>139.30000000000001</v>
      </c>
      <c r="D27" s="55">
        <v>62.685000000000009</v>
      </c>
      <c r="E27" s="28" t="s">
        <v>954</v>
      </c>
      <c r="F27" s="55">
        <v>58.297050000000013</v>
      </c>
      <c r="G27" s="29">
        <v>44652</v>
      </c>
      <c r="H27" s="30">
        <v>44926</v>
      </c>
    </row>
    <row r="28" spans="1:8" x14ac:dyDescent="0.2">
      <c r="A28" s="32">
        <v>200215</v>
      </c>
      <c r="B28" s="27" t="s">
        <v>31</v>
      </c>
      <c r="C28" s="55">
        <v>195.15</v>
      </c>
      <c r="D28" s="55">
        <v>87.81750000000001</v>
      </c>
      <c r="E28" s="28" t="s">
        <v>954</v>
      </c>
      <c r="F28" s="55">
        <v>81.670275000000018</v>
      </c>
      <c r="G28" s="29">
        <v>44652</v>
      </c>
      <c r="H28" s="30">
        <v>44926</v>
      </c>
    </row>
    <row r="29" spans="1:8" x14ac:dyDescent="0.2">
      <c r="A29" s="32">
        <v>200216</v>
      </c>
      <c r="B29" s="27" t="s">
        <v>1313</v>
      </c>
      <c r="C29" s="55">
        <v>245</v>
      </c>
      <c r="D29" s="55">
        <v>110.25</v>
      </c>
      <c r="E29" s="28" t="s">
        <v>954</v>
      </c>
      <c r="F29" s="55">
        <v>102.5325</v>
      </c>
      <c r="G29" s="29">
        <v>44652</v>
      </c>
      <c r="H29" s="30">
        <v>44926</v>
      </c>
    </row>
    <row r="30" spans="1:8" x14ac:dyDescent="0.2">
      <c r="A30" s="32">
        <v>200217</v>
      </c>
      <c r="B30" s="27" t="s">
        <v>32</v>
      </c>
      <c r="C30" s="55">
        <v>37.936500000000002</v>
      </c>
      <c r="D30" s="55">
        <v>17.071425000000001</v>
      </c>
      <c r="E30" s="28" t="s">
        <v>954</v>
      </c>
      <c r="F30" s="55">
        <v>15.876425250000002</v>
      </c>
      <c r="G30" s="29">
        <v>44652</v>
      </c>
      <c r="H30" s="30">
        <v>44926</v>
      </c>
    </row>
    <row r="31" spans="1:8" x14ac:dyDescent="0.2">
      <c r="A31" s="32">
        <v>200218</v>
      </c>
      <c r="B31" s="27" t="s">
        <v>33</v>
      </c>
      <c r="C31" s="55">
        <v>41.4</v>
      </c>
      <c r="D31" s="55">
        <v>18.63</v>
      </c>
      <c r="E31" s="28" t="s">
        <v>954</v>
      </c>
      <c r="F31" s="55">
        <v>17.325900000000001</v>
      </c>
      <c r="G31" s="29">
        <v>44652</v>
      </c>
      <c r="H31" s="30">
        <v>44926</v>
      </c>
    </row>
    <row r="32" spans="1:8" x14ac:dyDescent="0.2">
      <c r="A32" s="32">
        <v>200224</v>
      </c>
      <c r="B32" s="27" t="s">
        <v>34</v>
      </c>
      <c r="C32" s="55">
        <v>64.354500000000002</v>
      </c>
      <c r="D32" s="55">
        <v>28.959525000000003</v>
      </c>
      <c r="E32" s="28" t="s">
        <v>954</v>
      </c>
      <c r="F32" s="55">
        <v>26.932358250000004</v>
      </c>
      <c r="G32" s="29">
        <v>44652</v>
      </c>
      <c r="H32" s="30">
        <v>44926</v>
      </c>
    </row>
    <row r="33" spans="1:8" x14ac:dyDescent="0.2">
      <c r="A33" s="32">
        <v>201201</v>
      </c>
      <c r="B33" s="27" t="s">
        <v>35</v>
      </c>
      <c r="C33" s="55">
        <v>27.016500000000001</v>
      </c>
      <c r="D33" s="55">
        <v>12.157425</v>
      </c>
      <c r="E33" s="28" t="s">
        <v>954</v>
      </c>
      <c r="F33" s="55">
        <v>11.306405250000001</v>
      </c>
      <c r="G33" s="29">
        <v>44652</v>
      </c>
      <c r="H33" s="30">
        <v>44926</v>
      </c>
    </row>
    <row r="34" spans="1:8" x14ac:dyDescent="0.2">
      <c r="A34" s="32">
        <v>201202</v>
      </c>
      <c r="B34" s="27" t="s">
        <v>36</v>
      </c>
      <c r="C34" s="55">
        <v>27.016500000000001</v>
      </c>
      <c r="D34" s="55">
        <v>12.157425</v>
      </c>
      <c r="E34" s="28" t="s">
        <v>954</v>
      </c>
      <c r="F34" s="55">
        <v>11.306405250000001</v>
      </c>
      <c r="G34" s="29">
        <v>44652</v>
      </c>
      <c r="H34" s="30">
        <v>44926</v>
      </c>
    </row>
    <row r="35" spans="1:8" x14ac:dyDescent="0.2">
      <c r="A35" s="32">
        <v>201203</v>
      </c>
      <c r="B35" s="27" t="s">
        <v>35</v>
      </c>
      <c r="C35" s="55">
        <v>27.016500000000001</v>
      </c>
      <c r="D35" s="55">
        <v>12.157425</v>
      </c>
      <c r="E35" s="28" t="s">
        <v>954</v>
      </c>
      <c r="F35" s="55">
        <v>11.306405250000001</v>
      </c>
      <c r="G35" s="29">
        <v>44652</v>
      </c>
      <c r="H35" s="30">
        <v>44926</v>
      </c>
    </row>
    <row r="36" spans="1:8" x14ac:dyDescent="0.2">
      <c r="A36" s="32">
        <v>201204</v>
      </c>
      <c r="B36" s="27" t="s">
        <v>36</v>
      </c>
      <c r="C36" s="55">
        <v>27.016500000000001</v>
      </c>
      <c r="D36" s="55">
        <v>12.157425</v>
      </c>
      <c r="E36" s="28" t="s">
        <v>954</v>
      </c>
      <c r="F36" s="55">
        <v>11.306405250000001</v>
      </c>
      <c r="G36" s="29">
        <v>44652</v>
      </c>
      <c r="H36" s="30">
        <v>44926</v>
      </c>
    </row>
    <row r="37" spans="1:8" x14ac:dyDescent="0.2">
      <c r="A37" s="32">
        <v>210001</v>
      </c>
      <c r="B37" s="27" t="s">
        <v>37</v>
      </c>
      <c r="C37" s="55">
        <v>18.238500000000002</v>
      </c>
      <c r="D37" s="55">
        <v>8.2073250000000009</v>
      </c>
      <c r="E37" s="28" t="s">
        <v>954</v>
      </c>
      <c r="F37" s="55">
        <v>7.6328122500000015</v>
      </c>
      <c r="G37" s="29">
        <v>44652</v>
      </c>
      <c r="H37" s="30">
        <v>44926</v>
      </c>
    </row>
    <row r="38" spans="1:8" x14ac:dyDescent="0.2">
      <c r="A38" s="32">
        <v>210002</v>
      </c>
      <c r="B38" s="27" t="s">
        <v>38</v>
      </c>
      <c r="C38" s="55">
        <v>21.7</v>
      </c>
      <c r="D38" s="55">
        <v>9.7650000000000006</v>
      </c>
      <c r="E38" s="28" t="s">
        <v>954</v>
      </c>
      <c r="F38" s="55">
        <v>9.0814500000000002</v>
      </c>
      <c r="G38" s="29">
        <v>44652</v>
      </c>
      <c r="H38" s="30">
        <v>44926</v>
      </c>
    </row>
    <row r="39" spans="1:8" x14ac:dyDescent="0.2">
      <c r="A39" s="32">
        <v>210003</v>
      </c>
      <c r="B39" s="27" t="s">
        <v>39</v>
      </c>
      <c r="C39" s="55">
        <v>96.12</v>
      </c>
      <c r="D39" s="55">
        <v>43.254000000000005</v>
      </c>
      <c r="E39" s="28" t="s">
        <v>954</v>
      </c>
      <c r="F39" s="55">
        <v>40.226220000000005</v>
      </c>
      <c r="G39" s="29">
        <v>44652</v>
      </c>
      <c r="H39" s="30">
        <v>44926</v>
      </c>
    </row>
    <row r="40" spans="1:8" x14ac:dyDescent="0.2">
      <c r="A40" s="32">
        <v>210005</v>
      </c>
      <c r="B40" s="27" t="s">
        <v>40</v>
      </c>
      <c r="C40" s="55">
        <v>16.28</v>
      </c>
      <c r="D40" s="55">
        <v>7.3260000000000005</v>
      </c>
      <c r="E40" s="28" t="s">
        <v>954</v>
      </c>
      <c r="F40" s="55">
        <v>6.8131800000000009</v>
      </c>
      <c r="G40" s="29">
        <v>44652</v>
      </c>
      <c r="H40" s="30">
        <v>44926</v>
      </c>
    </row>
    <row r="41" spans="1:8" x14ac:dyDescent="0.2">
      <c r="A41" s="32">
        <v>210006</v>
      </c>
      <c r="B41" s="27" t="s">
        <v>41</v>
      </c>
      <c r="C41" s="55">
        <v>20.04</v>
      </c>
      <c r="D41" s="55">
        <v>9.0180000000000007</v>
      </c>
      <c r="E41" s="28" t="s">
        <v>954</v>
      </c>
      <c r="F41" s="55">
        <v>8.3867400000000014</v>
      </c>
      <c r="G41" s="29">
        <v>44652</v>
      </c>
      <c r="H41" s="30">
        <v>44926</v>
      </c>
    </row>
    <row r="42" spans="1:8" x14ac:dyDescent="0.2">
      <c r="A42" s="32">
        <v>210010</v>
      </c>
      <c r="B42" s="27" t="s">
        <v>42</v>
      </c>
      <c r="C42" s="55">
        <v>24.93</v>
      </c>
      <c r="D42" s="55">
        <v>11.218500000000001</v>
      </c>
      <c r="E42" s="28" t="s">
        <v>954</v>
      </c>
      <c r="F42" s="55">
        <v>10.433205000000001</v>
      </c>
      <c r="G42" s="29">
        <v>44652</v>
      </c>
      <c r="H42" s="30">
        <v>44926</v>
      </c>
    </row>
    <row r="43" spans="1:8" x14ac:dyDescent="0.2">
      <c r="A43" s="32">
        <v>210201</v>
      </c>
      <c r="B43" s="27" t="s">
        <v>43</v>
      </c>
      <c r="C43" s="55">
        <v>41.5</v>
      </c>
      <c r="D43" s="55">
        <v>18.675000000000001</v>
      </c>
      <c r="E43" s="28" t="s">
        <v>954</v>
      </c>
      <c r="F43" s="55">
        <v>17.367750000000001</v>
      </c>
      <c r="G43" s="29">
        <v>44652</v>
      </c>
      <c r="H43" s="30">
        <v>44926</v>
      </c>
    </row>
    <row r="44" spans="1:8" x14ac:dyDescent="0.2">
      <c r="A44" s="32">
        <v>210202</v>
      </c>
      <c r="B44" s="27" t="s">
        <v>44</v>
      </c>
      <c r="C44" s="55">
        <v>41.3</v>
      </c>
      <c r="D44" s="55">
        <v>18.585000000000001</v>
      </c>
      <c r="E44" s="28" t="s">
        <v>954</v>
      </c>
      <c r="F44" s="55">
        <v>17.284050000000001</v>
      </c>
      <c r="G44" s="29">
        <v>44652</v>
      </c>
      <c r="H44" s="30">
        <v>44926</v>
      </c>
    </row>
    <row r="45" spans="1:8" x14ac:dyDescent="0.2">
      <c r="A45" s="32">
        <v>210203</v>
      </c>
      <c r="B45" s="27" t="s">
        <v>45</v>
      </c>
      <c r="C45" s="55">
        <v>136</v>
      </c>
      <c r="D45" s="55">
        <v>61.2</v>
      </c>
      <c r="E45" s="28"/>
      <c r="F45" s="55">
        <v>56.916000000000004</v>
      </c>
      <c r="G45" s="29">
        <v>44652</v>
      </c>
      <c r="H45" s="30">
        <v>44926</v>
      </c>
    </row>
    <row r="46" spans="1:8" x14ac:dyDescent="0.2">
      <c r="A46" s="32">
        <v>210205</v>
      </c>
      <c r="B46" s="27" t="s">
        <v>46</v>
      </c>
      <c r="C46" s="55">
        <v>39.070500000000003</v>
      </c>
      <c r="D46" s="55">
        <v>17.581725000000002</v>
      </c>
      <c r="E46" s="28" t="s">
        <v>954</v>
      </c>
      <c r="F46" s="55">
        <v>16.351004250000003</v>
      </c>
      <c r="G46" s="29">
        <v>44652</v>
      </c>
      <c r="H46" s="30">
        <v>44926</v>
      </c>
    </row>
    <row r="47" spans="1:8" x14ac:dyDescent="0.2">
      <c r="A47" s="32">
        <v>210206</v>
      </c>
      <c r="B47" s="27" t="s">
        <v>47</v>
      </c>
      <c r="C47" s="55">
        <v>41.3</v>
      </c>
      <c r="D47" s="55">
        <v>18.585000000000001</v>
      </c>
      <c r="E47" s="28" t="s">
        <v>954</v>
      </c>
      <c r="F47" s="55">
        <v>17.284050000000001</v>
      </c>
      <c r="G47" s="29">
        <v>44652</v>
      </c>
      <c r="H47" s="30">
        <v>44926</v>
      </c>
    </row>
    <row r="48" spans="1:8" x14ac:dyDescent="0.2">
      <c r="A48" s="32">
        <v>210210</v>
      </c>
      <c r="B48" s="27" t="s">
        <v>48</v>
      </c>
      <c r="C48" s="55">
        <v>55.503</v>
      </c>
      <c r="D48" s="55">
        <v>24.97635</v>
      </c>
      <c r="E48" s="28" t="s">
        <v>954</v>
      </c>
      <c r="F48" s="55">
        <v>23.228005500000002</v>
      </c>
      <c r="G48" s="29">
        <v>44652</v>
      </c>
      <c r="H48" s="30">
        <v>44926</v>
      </c>
    </row>
    <row r="49" spans="1:8" x14ac:dyDescent="0.2">
      <c r="A49" s="32">
        <v>211001</v>
      </c>
      <c r="B49" s="27" t="s">
        <v>49</v>
      </c>
      <c r="C49" s="55">
        <v>19.2</v>
      </c>
      <c r="D49" s="55">
        <v>8.64</v>
      </c>
      <c r="E49" s="28" t="s">
        <v>954</v>
      </c>
      <c r="F49" s="55">
        <v>8.0352000000000015</v>
      </c>
      <c r="G49" s="29">
        <v>44652</v>
      </c>
      <c r="H49" s="30">
        <v>44926</v>
      </c>
    </row>
    <row r="50" spans="1:8" x14ac:dyDescent="0.2">
      <c r="A50" s="32">
        <v>211002</v>
      </c>
      <c r="B50" s="27" t="s">
        <v>50</v>
      </c>
      <c r="C50" s="55">
        <v>20.05</v>
      </c>
      <c r="D50" s="55">
        <v>9.0225000000000009</v>
      </c>
      <c r="E50" s="28" t="s">
        <v>954</v>
      </c>
      <c r="F50" s="55">
        <v>8.3909250000000011</v>
      </c>
      <c r="G50" s="29">
        <v>44652</v>
      </c>
      <c r="H50" s="30">
        <v>44926</v>
      </c>
    </row>
    <row r="51" spans="1:8" x14ac:dyDescent="0.2">
      <c r="A51" s="32">
        <v>211003</v>
      </c>
      <c r="B51" s="27" t="s">
        <v>51</v>
      </c>
      <c r="C51" s="55">
        <v>92.13</v>
      </c>
      <c r="D51" s="55">
        <v>41.458500000000001</v>
      </c>
      <c r="E51" s="28" t="s">
        <v>954</v>
      </c>
      <c r="F51" s="55">
        <v>38.556405000000005</v>
      </c>
      <c r="G51" s="29">
        <v>44652</v>
      </c>
      <c r="H51" s="30">
        <v>44926</v>
      </c>
    </row>
    <row r="52" spans="1:8" x14ac:dyDescent="0.2">
      <c r="A52" s="32">
        <v>211005</v>
      </c>
      <c r="B52" s="27" t="s">
        <v>52</v>
      </c>
      <c r="C52" s="55">
        <v>17.95</v>
      </c>
      <c r="D52" s="55">
        <v>8.0775000000000006</v>
      </c>
      <c r="E52" s="28" t="s">
        <v>954</v>
      </c>
      <c r="F52" s="55">
        <v>7.5120750000000012</v>
      </c>
      <c r="G52" s="29">
        <v>44652</v>
      </c>
      <c r="H52" s="30">
        <v>44926</v>
      </c>
    </row>
    <row r="53" spans="1:8" x14ac:dyDescent="0.2">
      <c r="A53" s="32">
        <v>211006</v>
      </c>
      <c r="B53" s="27" t="s">
        <v>53</v>
      </c>
      <c r="C53" s="55">
        <v>20.28</v>
      </c>
      <c r="D53" s="55">
        <v>9.1260000000000012</v>
      </c>
      <c r="E53" s="28" t="s">
        <v>954</v>
      </c>
      <c r="F53" s="55">
        <v>8.4871800000000022</v>
      </c>
      <c r="G53" s="29">
        <v>44652</v>
      </c>
      <c r="H53" s="30">
        <v>44926</v>
      </c>
    </row>
    <row r="54" spans="1:8" x14ac:dyDescent="0.2">
      <c r="A54" s="32">
        <v>211014</v>
      </c>
      <c r="B54" s="27" t="s">
        <v>54</v>
      </c>
      <c r="C54" s="55">
        <v>40.17</v>
      </c>
      <c r="D54" s="55">
        <v>18.076500000000003</v>
      </c>
      <c r="E54" s="28" t="s">
        <v>954</v>
      </c>
      <c r="F54" s="55">
        <v>16.811145000000003</v>
      </c>
      <c r="G54" s="29">
        <v>44652</v>
      </c>
      <c r="H54" s="30">
        <v>44926</v>
      </c>
    </row>
    <row r="55" spans="1:8" x14ac:dyDescent="0.2">
      <c r="A55" s="32">
        <v>211015</v>
      </c>
      <c r="B55" s="27" t="s">
        <v>55</v>
      </c>
      <c r="C55" s="55">
        <v>38.92</v>
      </c>
      <c r="D55" s="55">
        <v>17.514000000000003</v>
      </c>
      <c r="E55" s="28" t="s">
        <v>954</v>
      </c>
      <c r="F55" s="55">
        <v>16.288020000000003</v>
      </c>
      <c r="G55" s="29">
        <v>44652</v>
      </c>
      <c r="H55" s="30">
        <v>44926</v>
      </c>
    </row>
    <row r="56" spans="1:8" x14ac:dyDescent="0.2">
      <c r="A56" s="32">
        <v>211016</v>
      </c>
      <c r="B56" s="27" t="s">
        <v>56</v>
      </c>
      <c r="C56" s="55">
        <v>48.96</v>
      </c>
      <c r="D56" s="55">
        <v>22.032</v>
      </c>
      <c r="E56" s="28" t="s">
        <v>954</v>
      </c>
      <c r="F56" s="55">
        <v>20.48976</v>
      </c>
      <c r="G56" s="29">
        <v>44652</v>
      </c>
      <c r="H56" s="30">
        <v>44926</v>
      </c>
    </row>
    <row r="57" spans="1:8" x14ac:dyDescent="0.2">
      <c r="A57" s="32">
        <v>211201</v>
      </c>
      <c r="B57" s="27" t="s">
        <v>57</v>
      </c>
      <c r="C57" s="55">
        <v>39.06</v>
      </c>
      <c r="D57" s="55">
        <v>17.577000000000002</v>
      </c>
      <c r="E57" s="28" t="s">
        <v>954</v>
      </c>
      <c r="F57" s="55">
        <v>16.346610000000002</v>
      </c>
      <c r="G57" s="29">
        <v>44652</v>
      </c>
      <c r="H57" s="30">
        <v>44926</v>
      </c>
    </row>
    <row r="58" spans="1:8" x14ac:dyDescent="0.2">
      <c r="A58" s="32">
        <v>211202</v>
      </c>
      <c r="B58" s="27" t="s">
        <v>58</v>
      </c>
      <c r="C58" s="55">
        <v>43.72</v>
      </c>
      <c r="D58" s="55">
        <v>19.673999999999999</v>
      </c>
      <c r="E58" s="28" t="s">
        <v>954</v>
      </c>
      <c r="F58" s="55">
        <v>18.29682</v>
      </c>
      <c r="G58" s="29">
        <v>44652</v>
      </c>
      <c r="H58" s="30">
        <v>44926</v>
      </c>
    </row>
    <row r="59" spans="1:8" x14ac:dyDescent="0.2">
      <c r="A59" s="32">
        <v>211203</v>
      </c>
      <c r="B59" s="27" t="s">
        <v>59</v>
      </c>
      <c r="C59" s="55">
        <v>132.4</v>
      </c>
      <c r="D59" s="55">
        <v>59.580000000000005</v>
      </c>
      <c r="E59" s="28"/>
      <c r="F59" s="55">
        <v>55.409400000000005</v>
      </c>
      <c r="G59" s="29">
        <v>44652</v>
      </c>
      <c r="H59" s="30">
        <v>44926</v>
      </c>
    </row>
    <row r="60" spans="1:8" x14ac:dyDescent="0.2">
      <c r="A60" s="32">
        <v>211205</v>
      </c>
      <c r="B60" s="27" t="s">
        <v>60</v>
      </c>
      <c r="C60" s="55">
        <v>37.936500000000002</v>
      </c>
      <c r="D60" s="55">
        <v>17.071425000000001</v>
      </c>
      <c r="E60" s="28" t="s">
        <v>954</v>
      </c>
      <c r="F60" s="55">
        <v>15.876425250000002</v>
      </c>
      <c r="G60" s="29">
        <v>44652</v>
      </c>
      <c r="H60" s="30">
        <v>44926</v>
      </c>
    </row>
    <row r="61" spans="1:8" x14ac:dyDescent="0.2">
      <c r="A61" s="32">
        <v>211206</v>
      </c>
      <c r="B61" s="27" t="s">
        <v>61</v>
      </c>
      <c r="C61" s="55">
        <v>37.936500000000002</v>
      </c>
      <c r="D61" s="55">
        <v>17.071425000000001</v>
      </c>
      <c r="E61" s="28" t="s">
        <v>954</v>
      </c>
      <c r="F61" s="55">
        <v>15.876425250000002</v>
      </c>
      <c r="G61" s="29">
        <v>44652</v>
      </c>
      <c r="H61" s="30">
        <v>44926</v>
      </c>
    </row>
    <row r="62" spans="1:8" x14ac:dyDescent="0.2">
      <c r="A62" s="32">
        <v>211214</v>
      </c>
      <c r="B62" s="27" t="s">
        <v>62</v>
      </c>
      <c r="C62" s="55">
        <v>54</v>
      </c>
      <c r="D62" s="55">
        <v>24.3</v>
      </c>
      <c r="E62" s="28" t="s">
        <v>954</v>
      </c>
      <c r="F62" s="55">
        <v>22.599</v>
      </c>
      <c r="G62" s="29">
        <v>44652</v>
      </c>
      <c r="H62" s="30">
        <v>44926</v>
      </c>
    </row>
    <row r="63" spans="1:8" x14ac:dyDescent="0.2">
      <c r="A63" s="32">
        <v>211215</v>
      </c>
      <c r="B63" s="27" t="s">
        <v>63</v>
      </c>
      <c r="C63" s="55">
        <v>55.37</v>
      </c>
      <c r="D63" s="55">
        <v>24.916499999999999</v>
      </c>
      <c r="E63" s="28" t="s">
        <v>954</v>
      </c>
      <c r="F63" s="55">
        <v>23.172345</v>
      </c>
      <c r="G63" s="29">
        <v>44652</v>
      </c>
      <c r="H63" s="30">
        <v>44926</v>
      </c>
    </row>
    <row r="64" spans="1:8" x14ac:dyDescent="0.2">
      <c r="A64" s="32">
        <v>211216</v>
      </c>
      <c r="B64" s="27" t="s">
        <v>64</v>
      </c>
      <c r="C64" s="55">
        <v>52.8</v>
      </c>
      <c r="D64" s="55">
        <v>23.759999999999998</v>
      </c>
      <c r="E64" s="28" t="s">
        <v>954</v>
      </c>
      <c r="F64" s="55">
        <v>22.096799999999998</v>
      </c>
      <c r="G64" s="29">
        <v>44652</v>
      </c>
      <c r="H64" s="30">
        <v>44926</v>
      </c>
    </row>
    <row r="65" spans="1:8" x14ac:dyDescent="0.2">
      <c r="A65" s="32">
        <v>211217</v>
      </c>
      <c r="B65" s="27" t="s">
        <v>65</v>
      </c>
      <c r="C65" s="55">
        <v>70</v>
      </c>
      <c r="D65" s="55">
        <v>31.5</v>
      </c>
      <c r="E65" s="28" t="s">
        <v>954</v>
      </c>
      <c r="F65" s="55">
        <v>29.295000000000002</v>
      </c>
      <c r="G65" s="29">
        <v>44652</v>
      </c>
      <c r="H65" s="30">
        <v>44926</v>
      </c>
    </row>
    <row r="66" spans="1:8" x14ac:dyDescent="0.2">
      <c r="A66" s="32">
        <v>211305</v>
      </c>
      <c r="B66" s="27" t="s">
        <v>66</v>
      </c>
      <c r="C66" s="55">
        <v>57.655499999999996</v>
      </c>
      <c r="D66" s="55">
        <v>25.944974999999999</v>
      </c>
      <c r="E66" s="28" t="s">
        <v>954</v>
      </c>
      <c r="F66" s="55">
        <v>24.128826750000002</v>
      </c>
      <c r="G66" s="29">
        <v>44652</v>
      </c>
      <c r="H66" s="30">
        <v>44926</v>
      </c>
    </row>
    <row r="67" spans="1:8" x14ac:dyDescent="0.2">
      <c r="A67" s="32">
        <v>211306</v>
      </c>
      <c r="B67" s="27" t="s">
        <v>67</v>
      </c>
      <c r="C67" s="55">
        <v>63.692999999999998</v>
      </c>
      <c r="D67" s="55">
        <v>28.661850000000001</v>
      </c>
      <c r="E67" s="28" t="s">
        <v>954</v>
      </c>
      <c r="F67" s="55">
        <v>26.655520500000002</v>
      </c>
      <c r="G67" s="29">
        <v>44652</v>
      </c>
      <c r="H67" s="30">
        <v>44926</v>
      </c>
    </row>
    <row r="68" spans="1:8" x14ac:dyDescent="0.2">
      <c r="A68" s="32">
        <v>212001</v>
      </c>
      <c r="B68" s="27" t="s">
        <v>1061</v>
      </c>
      <c r="C68" s="55">
        <v>24</v>
      </c>
      <c r="D68" s="55">
        <v>10.8</v>
      </c>
      <c r="E68" s="28" t="s">
        <v>954</v>
      </c>
      <c r="F68" s="55">
        <v>10.044</v>
      </c>
      <c r="G68" s="29">
        <v>44652</v>
      </c>
      <c r="H68" s="30">
        <v>44926</v>
      </c>
    </row>
    <row r="69" spans="1:8" x14ac:dyDescent="0.2">
      <c r="A69" s="32">
        <v>212002</v>
      </c>
      <c r="B69" s="27" t="s">
        <v>1060</v>
      </c>
      <c r="C69" s="55">
        <v>25.9</v>
      </c>
      <c r="D69" s="55">
        <v>11.654999999999999</v>
      </c>
      <c r="E69" s="28" t="s">
        <v>954</v>
      </c>
      <c r="F69" s="55">
        <v>10.83915</v>
      </c>
      <c r="G69" s="29">
        <v>44652</v>
      </c>
      <c r="H69" s="30">
        <v>44926</v>
      </c>
    </row>
    <row r="70" spans="1:8" x14ac:dyDescent="0.2">
      <c r="A70" s="32">
        <v>212003</v>
      </c>
      <c r="B70" s="27" t="s">
        <v>68</v>
      </c>
      <c r="C70" s="55">
        <v>18.61</v>
      </c>
      <c r="D70" s="55">
        <v>8.3744999999999994</v>
      </c>
      <c r="E70" s="28" t="s">
        <v>954</v>
      </c>
      <c r="F70" s="55">
        <v>7.7882850000000001</v>
      </c>
      <c r="G70" s="29">
        <v>44652</v>
      </c>
      <c r="H70" s="30">
        <v>44926</v>
      </c>
    </row>
    <row r="71" spans="1:8" x14ac:dyDescent="0.2">
      <c r="A71" s="32">
        <v>212004</v>
      </c>
      <c r="B71" s="27" t="s">
        <v>69</v>
      </c>
      <c r="C71" s="55">
        <v>18.97</v>
      </c>
      <c r="D71" s="55">
        <v>8.5365000000000002</v>
      </c>
      <c r="E71" s="28" t="s">
        <v>954</v>
      </c>
      <c r="F71" s="55">
        <v>7.9389450000000004</v>
      </c>
      <c r="G71" s="29">
        <v>44652</v>
      </c>
      <c r="H71" s="30">
        <v>44926</v>
      </c>
    </row>
    <row r="72" spans="1:8" x14ac:dyDescent="0.2">
      <c r="A72" s="32">
        <v>212201</v>
      </c>
      <c r="B72" s="27" t="s">
        <v>70</v>
      </c>
      <c r="C72" s="55">
        <v>40.5</v>
      </c>
      <c r="D72" s="55">
        <v>18.225000000000001</v>
      </c>
      <c r="E72" s="28" t="s">
        <v>954</v>
      </c>
      <c r="F72" s="55">
        <v>16.949250000000003</v>
      </c>
      <c r="G72" s="29">
        <v>44652</v>
      </c>
      <c r="H72" s="30">
        <v>44926</v>
      </c>
    </row>
    <row r="73" spans="1:8" x14ac:dyDescent="0.2">
      <c r="A73" s="32">
        <v>212202</v>
      </c>
      <c r="B73" s="27" t="s">
        <v>71</v>
      </c>
      <c r="C73" s="55">
        <v>41.1</v>
      </c>
      <c r="D73" s="55">
        <v>18.495000000000001</v>
      </c>
      <c r="E73" s="28" t="s">
        <v>954</v>
      </c>
      <c r="F73" s="55">
        <v>17.20035</v>
      </c>
      <c r="G73" s="29">
        <v>44652</v>
      </c>
      <c r="H73" s="30">
        <v>44926</v>
      </c>
    </row>
    <row r="74" spans="1:8" x14ac:dyDescent="0.2">
      <c r="A74" s="32">
        <v>212203</v>
      </c>
      <c r="B74" s="27" t="s">
        <v>72</v>
      </c>
      <c r="C74" s="55">
        <v>42.3</v>
      </c>
      <c r="D74" s="55">
        <v>19.035</v>
      </c>
      <c r="E74" s="28" t="s">
        <v>954</v>
      </c>
      <c r="F74" s="55">
        <v>17.702550000000002</v>
      </c>
      <c r="G74" s="29">
        <v>44652</v>
      </c>
      <c r="H74" s="30">
        <v>44926</v>
      </c>
    </row>
    <row r="75" spans="1:8" x14ac:dyDescent="0.2">
      <c r="A75" s="32">
        <v>212204</v>
      </c>
      <c r="B75" s="27" t="s">
        <v>73</v>
      </c>
      <c r="C75" s="55">
        <v>41</v>
      </c>
      <c r="D75" s="55">
        <v>18.45</v>
      </c>
      <c r="E75" s="28"/>
      <c r="F75" s="55">
        <v>17.1585</v>
      </c>
      <c r="G75" s="29">
        <v>44652</v>
      </c>
      <c r="H75" s="30">
        <v>44926</v>
      </c>
    </row>
    <row r="76" spans="1:8" x14ac:dyDescent="0.2">
      <c r="A76" s="32">
        <v>213001</v>
      </c>
      <c r="B76" s="27" t="s">
        <v>74</v>
      </c>
      <c r="C76" s="55">
        <v>28.7</v>
      </c>
      <c r="D76" s="55">
        <v>12.914999999999999</v>
      </c>
      <c r="E76" s="28" t="s">
        <v>954</v>
      </c>
      <c r="F76" s="55">
        <v>12.010949999999999</v>
      </c>
      <c r="G76" s="29">
        <v>44652</v>
      </c>
      <c r="H76" s="30">
        <v>44926</v>
      </c>
    </row>
    <row r="77" spans="1:8" x14ac:dyDescent="0.2">
      <c r="A77" s="32">
        <v>213002</v>
      </c>
      <c r="B77" s="27" t="s">
        <v>75</v>
      </c>
      <c r="C77" s="55">
        <v>28.5</v>
      </c>
      <c r="D77" s="55">
        <v>12.825000000000001</v>
      </c>
      <c r="E77" s="28" t="s">
        <v>954</v>
      </c>
      <c r="F77" s="55">
        <v>11.927250000000001</v>
      </c>
      <c r="G77" s="29">
        <v>44652</v>
      </c>
      <c r="H77" s="30">
        <v>44926</v>
      </c>
    </row>
    <row r="78" spans="1:8" x14ac:dyDescent="0.2">
      <c r="A78" s="32">
        <v>213201</v>
      </c>
      <c r="B78" s="27" t="s">
        <v>76</v>
      </c>
      <c r="C78" s="55">
        <v>45.84</v>
      </c>
      <c r="D78" s="55">
        <v>20.628000000000004</v>
      </c>
      <c r="E78" s="28" t="s">
        <v>954</v>
      </c>
      <c r="F78" s="55">
        <v>19.184040000000003</v>
      </c>
      <c r="G78" s="29">
        <v>44652</v>
      </c>
      <c r="H78" s="30">
        <v>44926</v>
      </c>
    </row>
    <row r="79" spans="1:8" x14ac:dyDescent="0.2">
      <c r="A79" s="32">
        <v>214201</v>
      </c>
      <c r="B79" s="27" t="s">
        <v>77</v>
      </c>
      <c r="C79" s="55">
        <v>137.05000000000001</v>
      </c>
      <c r="D79" s="55">
        <v>61.672500000000007</v>
      </c>
      <c r="E79" s="28"/>
      <c r="F79" s="55">
        <v>57.355425000000011</v>
      </c>
      <c r="G79" s="29">
        <v>44652</v>
      </c>
      <c r="H79" s="30">
        <v>44926</v>
      </c>
    </row>
    <row r="80" spans="1:8" x14ac:dyDescent="0.2">
      <c r="A80" s="32">
        <v>215001</v>
      </c>
      <c r="B80" s="27" t="s">
        <v>78</v>
      </c>
      <c r="C80" s="55">
        <v>28.45</v>
      </c>
      <c r="D80" s="55">
        <v>12.8025</v>
      </c>
      <c r="E80" s="28" t="s">
        <v>954</v>
      </c>
      <c r="F80" s="55">
        <v>11.906325000000001</v>
      </c>
      <c r="G80" s="29">
        <v>44652</v>
      </c>
      <c r="H80" s="30">
        <v>44926</v>
      </c>
    </row>
    <row r="81" spans="1:8" x14ac:dyDescent="0.2">
      <c r="A81" s="32">
        <v>215002</v>
      </c>
      <c r="B81" s="27" t="s">
        <v>79</v>
      </c>
      <c r="C81" s="55">
        <v>32.200000000000003</v>
      </c>
      <c r="D81" s="55">
        <v>14.490000000000002</v>
      </c>
      <c r="E81" s="28" t="s">
        <v>954</v>
      </c>
      <c r="F81" s="55">
        <v>13.475700000000003</v>
      </c>
      <c r="G81" s="29">
        <v>44652</v>
      </c>
      <c r="H81" s="30">
        <v>44926</v>
      </c>
    </row>
    <row r="82" spans="1:8" x14ac:dyDescent="0.2">
      <c r="A82" s="32">
        <v>215201</v>
      </c>
      <c r="B82" s="27" t="s">
        <v>80</v>
      </c>
      <c r="C82" s="55">
        <v>45.3</v>
      </c>
      <c r="D82" s="55">
        <v>20.384999999999998</v>
      </c>
      <c r="E82" s="28" t="s">
        <v>954</v>
      </c>
      <c r="F82" s="55">
        <v>18.95805</v>
      </c>
      <c r="G82" s="29">
        <v>44652</v>
      </c>
      <c r="H82" s="30">
        <v>44926</v>
      </c>
    </row>
    <row r="83" spans="1:8" x14ac:dyDescent="0.2">
      <c r="A83" s="32">
        <v>215202</v>
      </c>
      <c r="B83" s="27" t="s">
        <v>81</v>
      </c>
      <c r="C83" s="55">
        <v>48.53</v>
      </c>
      <c r="D83" s="55">
        <v>21.8385</v>
      </c>
      <c r="E83" s="28" t="s">
        <v>954</v>
      </c>
      <c r="F83" s="55">
        <v>20.309805000000001</v>
      </c>
      <c r="G83" s="29">
        <v>44652</v>
      </c>
      <c r="H83" s="30">
        <v>44926</v>
      </c>
    </row>
    <row r="84" spans="1:8" x14ac:dyDescent="0.2">
      <c r="A84" s="32">
        <v>221201</v>
      </c>
      <c r="B84" s="27" t="s">
        <v>82</v>
      </c>
      <c r="C84" s="55">
        <v>29.379000000000001</v>
      </c>
      <c r="D84" s="55">
        <v>13.220550000000001</v>
      </c>
      <c r="E84" s="28" t="s">
        <v>954</v>
      </c>
      <c r="F84" s="55">
        <v>12.295111500000001</v>
      </c>
      <c r="G84" s="29">
        <v>44652</v>
      </c>
      <c r="H84" s="30">
        <v>44926</v>
      </c>
    </row>
    <row r="85" spans="1:8" x14ac:dyDescent="0.2">
      <c r="A85" s="32">
        <v>221202</v>
      </c>
      <c r="B85" s="27" t="s">
        <v>83</v>
      </c>
      <c r="C85" s="55">
        <v>29.379000000000001</v>
      </c>
      <c r="D85" s="55">
        <v>13.220550000000001</v>
      </c>
      <c r="E85" s="28" t="s">
        <v>954</v>
      </c>
      <c r="F85" s="55">
        <v>12.295111500000001</v>
      </c>
      <c r="G85" s="29">
        <v>44652</v>
      </c>
      <c r="H85" s="30">
        <v>44926</v>
      </c>
    </row>
    <row r="86" spans="1:8" x14ac:dyDescent="0.2">
      <c r="A86" s="32">
        <v>221205</v>
      </c>
      <c r="B86" s="27" t="s">
        <v>1316</v>
      </c>
      <c r="C86" s="55">
        <v>38.671500000000002</v>
      </c>
      <c r="D86" s="55">
        <v>17.402175</v>
      </c>
      <c r="E86" s="28" t="s">
        <v>954</v>
      </c>
      <c r="F86" s="55">
        <v>16.18402275</v>
      </c>
      <c r="G86" s="29">
        <v>44652</v>
      </c>
      <c r="H86" s="30">
        <v>44926</v>
      </c>
    </row>
    <row r="87" spans="1:8" x14ac:dyDescent="0.2">
      <c r="A87" s="32">
        <v>221209</v>
      </c>
      <c r="B87" s="27" t="s">
        <v>84</v>
      </c>
      <c r="C87" s="55">
        <v>38.839500000000001</v>
      </c>
      <c r="D87" s="55">
        <v>17.477775000000001</v>
      </c>
      <c r="E87" s="28" t="s">
        <v>954</v>
      </c>
      <c r="F87" s="55">
        <v>16.254330750000001</v>
      </c>
      <c r="G87" s="29">
        <v>44652</v>
      </c>
      <c r="H87" s="30">
        <v>44926</v>
      </c>
    </row>
    <row r="88" spans="1:8" x14ac:dyDescent="0.2">
      <c r="A88" s="32">
        <v>221210</v>
      </c>
      <c r="B88" s="27" t="s">
        <v>1320</v>
      </c>
      <c r="C88" s="55">
        <v>40.540500000000002</v>
      </c>
      <c r="D88" s="55">
        <v>18.243225000000002</v>
      </c>
      <c r="E88" s="28" t="s">
        <v>954</v>
      </c>
      <c r="F88" s="55">
        <v>16.966199250000003</v>
      </c>
      <c r="G88" s="29">
        <v>44652</v>
      </c>
      <c r="H88" s="30">
        <v>44926</v>
      </c>
    </row>
    <row r="89" spans="1:8" x14ac:dyDescent="0.2">
      <c r="A89" s="32">
        <v>221300</v>
      </c>
      <c r="B89" s="27" t="s">
        <v>85</v>
      </c>
      <c r="C89" s="55">
        <v>47.460000000000008</v>
      </c>
      <c r="D89" s="55">
        <v>21.357000000000003</v>
      </c>
      <c r="E89" s="28" t="s">
        <v>954</v>
      </c>
      <c r="F89" s="55">
        <v>19.862010000000005</v>
      </c>
      <c r="G89" s="29">
        <v>44652</v>
      </c>
      <c r="H89" s="30">
        <v>44926</v>
      </c>
    </row>
    <row r="90" spans="1:8" x14ac:dyDescent="0.2">
      <c r="A90" s="32">
        <v>221301</v>
      </c>
      <c r="B90" s="27" t="s">
        <v>86</v>
      </c>
      <c r="C90" s="55">
        <v>53.445</v>
      </c>
      <c r="D90" s="55">
        <v>24.050250000000002</v>
      </c>
      <c r="E90" s="28" t="s">
        <v>954</v>
      </c>
      <c r="F90" s="55">
        <v>22.366732500000001</v>
      </c>
      <c r="G90" s="29">
        <v>44652</v>
      </c>
      <c r="H90" s="30">
        <v>44926</v>
      </c>
    </row>
    <row r="91" spans="1:8" x14ac:dyDescent="0.2">
      <c r="A91" s="32">
        <v>225001</v>
      </c>
      <c r="B91" s="27" t="s">
        <v>1062</v>
      </c>
      <c r="C91" s="55">
        <v>36.5</v>
      </c>
      <c r="D91" s="55">
        <v>16.425000000000001</v>
      </c>
      <c r="E91" s="28" t="s">
        <v>954</v>
      </c>
      <c r="F91" s="55">
        <v>15.275250000000002</v>
      </c>
      <c r="G91" s="29">
        <v>44652</v>
      </c>
      <c r="H91" s="30">
        <v>44926</v>
      </c>
    </row>
    <row r="92" spans="1:8" x14ac:dyDescent="0.2">
      <c r="A92" s="32">
        <v>225201</v>
      </c>
      <c r="B92" s="27" t="s">
        <v>87</v>
      </c>
      <c r="C92" s="55">
        <v>60</v>
      </c>
      <c r="D92" s="55">
        <v>27</v>
      </c>
      <c r="E92" s="28" t="s">
        <v>954</v>
      </c>
      <c r="F92" s="55">
        <v>25.110000000000003</v>
      </c>
      <c r="G92" s="29">
        <v>44652</v>
      </c>
      <c r="H92" s="30">
        <v>44926</v>
      </c>
    </row>
    <row r="93" spans="1:8" x14ac:dyDescent="0.2">
      <c r="A93" s="32">
        <v>225202</v>
      </c>
      <c r="B93" s="27" t="s">
        <v>88</v>
      </c>
      <c r="C93" s="55">
        <v>60</v>
      </c>
      <c r="D93" s="55">
        <v>27</v>
      </c>
      <c r="E93" s="28"/>
      <c r="F93" s="55">
        <v>25.110000000000003</v>
      </c>
      <c r="G93" s="29">
        <v>44652</v>
      </c>
      <c r="H93" s="30">
        <v>44926</v>
      </c>
    </row>
    <row r="94" spans="1:8" x14ac:dyDescent="0.2">
      <c r="A94" s="32">
        <v>300011</v>
      </c>
      <c r="B94" s="27" t="s">
        <v>89</v>
      </c>
      <c r="C94" s="55">
        <v>246.5</v>
      </c>
      <c r="D94" s="55">
        <v>110.925</v>
      </c>
      <c r="E94" s="28" t="s">
        <v>954</v>
      </c>
      <c r="F94" s="55">
        <v>103.16025</v>
      </c>
      <c r="G94" s="29">
        <v>44652</v>
      </c>
      <c r="H94" s="30">
        <v>44926</v>
      </c>
    </row>
    <row r="95" spans="1:8" x14ac:dyDescent="0.2">
      <c r="A95" s="32">
        <v>300012</v>
      </c>
      <c r="B95" s="27" t="s">
        <v>90</v>
      </c>
      <c r="C95" s="55">
        <v>369.25</v>
      </c>
      <c r="D95" s="55">
        <v>166.16249999999999</v>
      </c>
      <c r="E95" s="28" t="s">
        <v>954</v>
      </c>
      <c r="F95" s="55">
        <v>154.531125</v>
      </c>
      <c r="G95" s="29">
        <v>44652</v>
      </c>
      <c r="H95" s="30">
        <v>44926</v>
      </c>
    </row>
    <row r="96" spans="1:8" x14ac:dyDescent="0.2">
      <c r="A96" s="32">
        <v>300013</v>
      </c>
      <c r="B96" s="27" t="s">
        <v>91</v>
      </c>
      <c r="C96" s="55">
        <v>455</v>
      </c>
      <c r="D96" s="55">
        <v>204.75</v>
      </c>
      <c r="E96" s="28" t="s">
        <v>954</v>
      </c>
      <c r="F96" s="55">
        <v>190.41750000000002</v>
      </c>
      <c r="G96" s="29">
        <v>44652</v>
      </c>
      <c r="H96" s="30">
        <v>44926</v>
      </c>
    </row>
    <row r="97" spans="1:8" x14ac:dyDescent="0.2">
      <c r="A97" s="32">
        <v>300014</v>
      </c>
      <c r="B97" s="27" t="s">
        <v>92</v>
      </c>
      <c r="C97" s="55">
        <v>659</v>
      </c>
      <c r="D97" s="55">
        <v>296.55</v>
      </c>
      <c r="E97" s="28" t="s">
        <v>954</v>
      </c>
      <c r="F97" s="55">
        <v>275.79150000000004</v>
      </c>
      <c r="G97" s="29">
        <v>44652</v>
      </c>
      <c r="H97" s="30">
        <v>44926</v>
      </c>
    </row>
    <row r="98" spans="1:8" x14ac:dyDescent="0.2">
      <c r="A98" s="32">
        <v>300015</v>
      </c>
      <c r="B98" s="27" t="s">
        <v>91</v>
      </c>
      <c r="C98" s="55">
        <v>481</v>
      </c>
      <c r="D98" s="55">
        <v>216.45000000000002</v>
      </c>
      <c r="E98" s="28" t="s">
        <v>954</v>
      </c>
      <c r="F98" s="55">
        <v>201.29850000000002</v>
      </c>
      <c r="G98" s="29">
        <v>44652</v>
      </c>
      <c r="H98" s="30">
        <v>44926</v>
      </c>
    </row>
    <row r="99" spans="1:8" x14ac:dyDescent="0.2">
      <c r="A99" s="32">
        <v>300018</v>
      </c>
      <c r="B99" s="27" t="s">
        <v>93</v>
      </c>
      <c r="C99" s="55">
        <v>557</v>
      </c>
      <c r="D99" s="55">
        <v>250.65</v>
      </c>
      <c r="E99" s="28" t="s">
        <v>954</v>
      </c>
      <c r="F99" s="55">
        <v>233.10450000000003</v>
      </c>
      <c r="G99" s="29">
        <v>44652</v>
      </c>
      <c r="H99" s="30">
        <v>44926</v>
      </c>
    </row>
    <row r="100" spans="1:8" x14ac:dyDescent="0.2">
      <c r="A100" s="32">
        <v>300022</v>
      </c>
      <c r="B100" s="27" t="s">
        <v>94</v>
      </c>
      <c r="C100" s="55">
        <v>369.2</v>
      </c>
      <c r="D100" s="55">
        <v>166.14</v>
      </c>
      <c r="E100" s="28" t="s">
        <v>954</v>
      </c>
      <c r="F100" s="55">
        <v>154.5102</v>
      </c>
      <c r="G100" s="29">
        <v>44652</v>
      </c>
      <c r="H100" s="30">
        <v>44926</v>
      </c>
    </row>
    <row r="101" spans="1:8" x14ac:dyDescent="0.2">
      <c r="A101" s="32">
        <v>351044</v>
      </c>
      <c r="B101" s="27" t="s">
        <v>95</v>
      </c>
      <c r="C101" s="55">
        <v>85.491</v>
      </c>
      <c r="D101" s="55">
        <v>38.470950000000002</v>
      </c>
      <c r="E101" s="28" t="s">
        <v>954</v>
      </c>
      <c r="F101" s="55">
        <v>35.777983500000005</v>
      </c>
      <c r="G101" s="29">
        <v>44652</v>
      </c>
      <c r="H101" s="30">
        <v>44926</v>
      </c>
    </row>
    <row r="102" spans="1:8" x14ac:dyDescent="0.2">
      <c r="A102" s="32">
        <v>351045</v>
      </c>
      <c r="B102" s="27" t="s">
        <v>96</v>
      </c>
      <c r="C102" s="55">
        <v>64.995000000000005</v>
      </c>
      <c r="D102" s="55">
        <v>29.247750000000003</v>
      </c>
      <c r="E102" s="28" t="s">
        <v>954</v>
      </c>
      <c r="F102" s="55">
        <v>27.200407500000004</v>
      </c>
      <c r="G102" s="29">
        <v>44652</v>
      </c>
      <c r="H102" s="30">
        <v>44926</v>
      </c>
    </row>
    <row r="103" spans="1:8" x14ac:dyDescent="0.2">
      <c r="A103" s="32">
        <v>351046</v>
      </c>
      <c r="B103" s="27" t="s">
        <v>95</v>
      </c>
      <c r="C103" s="55">
        <v>112.5</v>
      </c>
      <c r="D103" s="55">
        <v>50.625</v>
      </c>
      <c r="E103" s="28" t="s">
        <v>954</v>
      </c>
      <c r="F103" s="55">
        <v>47.081250000000004</v>
      </c>
      <c r="G103" s="29">
        <v>44652</v>
      </c>
      <c r="H103" s="30">
        <v>44926</v>
      </c>
    </row>
    <row r="104" spans="1:8" x14ac:dyDescent="0.2">
      <c r="A104" s="32">
        <v>351047</v>
      </c>
      <c r="B104" s="27" t="s">
        <v>95</v>
      </c>
      <c r="C104" s="55">
        <v>111</v>
      </c>
      <c r="D104" s="55">
        <v>49.95</v>
      </c>
      <c r="E104" s="28" t="s">
        <v>954</v>
      </c>
      <c r="F104" s="55">
        <v>46.453500000000005</v>
      </c>
      <c r="G104" s="29">
        <v>44652</v>
      </c>
      <c r="H104" s="30">
        <v>44926</v>
      </c>
    </row>
    <row r="105" spans="1:8" x14ac:dyDescent="0.2">
      <c r="A105" s="32">
        <v>400036</v>
      </c>
      <c r="B105" s="27" t="s">
        <v>1020</v>
      </c>
      <c r="C105" s="55">
        <v>30.42</v>
      </c>
      <c r="D105" s="55">
        <v>13.689000000000002</v>
      </c>
      <c r="E105" s="28" t="s">
        <v>954</v>
      </c>
      <c r="F105" s="55">
        <v>12.730770000000003</v>
      </c>
      <c r="G105" s="29">
        <v>44652</v>
      </c>
      <c r="H105" s="30">
        <v>44926</v>
      </c>
    </row>
    <row r="106" spans="1:8" x14ac:dyDescent="0.2">
      <c r="A106" s="32">
        <v>400038</v>
      </c>
      <c r="B106" s="27" t="s">
        <v>1019</v>
      </c>
      <c r="C106" s="55">
        <v>40.71</v>
      </c>
      <c r="D106" s="55">
        <v>18.319500000000001</v>
      </c>
      <c r="E106" s="28" t="s">
        <v>954</v>
      </c>
      <c r="F106" s="55">
        <v>17.037135000000003</v>
      </c>
      <c r="G106" s="29">
        <v>44652</v>
      </c>
      <c r="H106" s="30">
        <v>44926</v>
      </c>
    </row>
    <row r="107" spans="1:8" x14ac:dyDescent="0.2">
      <c r="A107" s="32">
        <v>400039</v>
      </c>
      <c r="B107" s="27" t="s">
        <v>97</v>
      </c>
      <c r="C107" s="55">
        <v>27.9</v>
      </c>
      <c r="D107" s="55">
        <v>12.555</v>
      </c>
      <c r="E107" s="28" t="s">
        <v>954</v>
      </c>
      <c r="F107" s="55">
        <v>11.67615</v>
      </c>
      <c r="G107" s="29">
        <v>44652</v>
      </c>
      <c r="H107" s="30">
        <v>44926</v>
      </c>
    </row>
    <row r="108" spans="1:8" x14ac:dyDescent="0.2">
      <c r="A108" s="32">
        <v>400040</v>
      </c>
      <c r="B108" s="27" t="s">
        <v>98</v>
      </c>
      <c r="C108" s="55">
        <v>29.86</v>
      </c>
      <c r="D108" s="55">
        <v>13.436999999999999</v>
      </c>
      <c r="E108" s="28" t="s">
        <v>954</v>
      </c>
      <c r="F108" s="55">
        <v>12.496410000000001</v>
      </c>
      <c r="G108" s="29">
        <v>44652</v>
      </c>
      <c r="H108" s="30">
        <v>44926</v>
      </c>
    </row>
    <row r="109" spans="1:8" x14ac:dyDescent="0.2">
      <c r="A109" s="32">
        <v>400041</v>
      </c>
      <c r="B109" s="27" t="s">
        <v>99</v>
      </c>
      <c r="C109" s="55">
        <v>31.6</v>
      </c>
      <c r="D109" s="55">
        <v>14.22</v>
      </c>
      <c r="E109" s="28" t="s">
        <v>954</v>
      </c>
      <c r="F109" s="55">
        <v>13.224600000000001</v>
      </c>
      <c r="G109" s="29">
        <v>44652</v>
      </c>
      <c r="H109" s="30">
        <v>44926</v>
      </c>
    </row>
    <row r="110" spans="1:8" x14ac:dyDescent="0.2">
      <c r="A110" s="32">
        <v>400043</v>
      </c>
      <c r="B110" s="27" t="s">
        <v>100</v>
      </c>
      <c r="C110" s="55">
        <v>31.7</v>
      </c>
      <c r="D110" s="55">
        <v>14.265000000000001</v>
      </c>
      <c r="E110" s="28" t="s">
        <v>954</v>
      </c>
      <c r="F110" s="55">
        <v>13.266450000000001</v>
      </c>
      <c r="G110" s="29">
        <v>44652</v>
      </c>
      <c r="H110" s="30">
        <v>44926</v>
      </c>
    </row>
    <row r="111" spans="1:8" x14ac:dyDescent="0.2">
      <c r="A111" s="32">
        <v>400044</v>
      </c>
      <c r="B111" s="27" t="s">
        <v>101</v>
      </c>
      <c r="C111" s="55">
        <v>38.010000000000005</v>
      </c>
      <c r="D111" s="55">
        <v>17.104500000000002</v>
      </c>
      <c r="E111" s="28" t="s">
        <v>954</v>
      </c>
      <c r="F111" s="55">
        <v>15.907185000000002</v>
      </c>
      <c r="G111" s="29">
        <v>44652</v>
      </c>
      <c r="H111" s="30">
        <v>44926</v>
      </c>
    </row>
    <row r="112" spans="1:8" x14ac:dyDescent="0.2">
      <c r="A112" s="32">
        <v>400045</v>
      </c>
      <c r="B112" s="27" t="s">
        <v>102</v>
      </c>
      <c r="C112" s="55">
        <v>19.425000000000001</v>
      </c>
      <c r="D112" s="55">
        <v>8.7412500000000009</v>
      </c>
      <c r="E112" s="28" t="s">
        <v>954</v>
      </c>
      <c r="F112" s="55">
        <v>8.1293625000000009</v>
      </c>
      <c r="G112" s="29">
        <v>44652</v>
      </c>
      <c r="H112" s="30">
        <v>44926</v>
      </c>
    </row>
    <row r="113" spans="1:8" x14ac:dyDescent="0.2">
      <c r="A113" s="32">
        <v>400048</v>
      </c>
      <c r="B113" s="27" t="s">
        <v>1075</v>
      </c>
      <c r="C113" s="55">
        <v>212.94000000000003</v>
      </c>
      <c r="D113" s="55">
        <v>95.823000000000008</v>
      </c>
      <c r="E113" s="28"/>
      <c r="F113" s="55">
        <v>89.115390000000005</v>
      </c>
      <c r="G113" s="29">
        <v>44652</v>
      </c>
      <c r="H113" s="30">
        <v>44926</v>
      </c>
    </row>
    <row r="114" spans="1:8" x14ac:dyDescent="0.2">
      <c r="A114" s="32">
        <v>400053</v>
      </c>
      <c r="B114" s="27" t="s">
        <v>103</v>
      </c>
      <c r="C114" s="55">
        <v>55.04</v>
      </c>
      <c r="D114" s="55">
        <v>24.768000000000001</v>
      </c>
      <c r="E114" s="28" t="s">
        <v>954</v>
      </c>
      <c r="F114" s="55">
        <v>23.03424</v>
      </c>
      <c r="G114" s="29">
        <v>44652</v>
      </c>
      <c r="H114" s="30">
        <v>44926</v>
      </c>
    </row>
    <row r="115" spans="1:8" x14ac:dyDescent="0.2">
      <c r="A115" s="32">
        <v>400054</v>
      </c>
      <c r="B115" s="27" t="s">
        <v>104</v>
      </c>
      <c r="C115" s="55">
        <v>31.32</v>
      </c>
      <c r="D115" s="55">
        <v>14.094000000000001</v>
      </c>
      <c r="E115" s="28" t="s">
        <v>954</v>
      </c>
      <c r="F115" s="55">
        <v>13.107420000000001</v>
      </c>
      <c r="G115" s="29">
        <v>44652</v>
      </c>
      <c r="H115" s="30">
        <v>44926</v>
      </c>
    </row>
    <row r="116" spans="1:8" x14ac:dyDescent="0.2">
      <c r="A116" s="32">
        <v>400055</v>
      </c>
      <c r="B116" s="27" t="s">
        <v>105</v>
      </c>
      <c r="C116" s="55">
        <v>38.115000000000002</v>
      </c>
      <c r="D116" s="55">
        <v>17.15175</v>
      </c>
      <c r="E116" s="28" t="s">
        <v>954</v>
      </c>
      <c r="F116" s="55">
        <v>15.9511275</v>
      </c>
      <c r="G116" s="29">
        <v>44652</v>
      </c>
      <c r="H116" s="30">
        <v>44926</v>
      </c>
    </row>
    <row r="117" spans="1:8" x14ac:dyDescent="0.2">
      <c r="A117" s="32">
        <v>400059</v>
      </c>
      <c r="B117" s="27" t="s">
        <v>106</v>
      </c>
      <c r="C117" s="55">
        <v>38.597999999999999</v>
      </c>
      <c r="D117" s="55">
        <v>17.3691</v>
      </c>
      <c r="E117" s="28" t="s">
        <v>954</v>
      </c>
      <c r="F117" s="55">
        <v>16.153262999999999</v>
      </c>
      <c r="G117" s="29">
        <v>44652</v>
      </c>
      <c r="H117" s="30">
        <v>44926</v>
      </c>
    </row>
    <row r="118" spans="1:8" x14ac:dyDescent="0.2">
      <c r="A118" s="32">
        <v>400060</v>
      </c>
      <c r="B118" s="27" t="s">
        <v>107</v>
      </c>
      <c r="C118" s="55">
        <v>41.160000000000004</v>
      </c>
      <c r="D118" s="55">
        <v>18.522000000000002</v>
      </c>
      <c r="E118" s="28" t="s">
        <v>954</v>
      </c>
      <c r="F118" s="55">
        <v>17.225460000000002</v>
      </c>
      <c r="G118" s="29">
        <v>44652</v>
      </c>
      <c r="H118" s="30">
        <v>44926</v>
      </c>
    </row>
    <row r="119" spans="1:8" x14ac:dyDescent="0.2">
      <c r="A119" s="32">
        <v>400061</v>
      </c>
      <c r="B119" s="27" t="s">
        <v>1022</v>
      </c>
      <c r="C119" s="55">
        <v>43.165500000000002</v>
      </c>
      <c r="D119" s="55">
        <v>19.424475000000001</v>
      </c>
      <c r="E119" s="28" t="s">
        <v>954</v>
      </c>
      <c r="F119" s="55">
        <v>18.064761750000002</v>
      </c>
      <c r="G119" s="29">
        <v>44652</v>
      </c>
      <c r="H119" s="30">
        <v>44926</v>
      </c>
    </row>
    <row r="120" spans="1:8" x14ac:dyDescent="0.2">
      <c r="A120" s="32">
        <v>400063</v>
      </c>
      <c r="B120" s="27" t="s">
        <v>108</v>
      </c>
      <c r="C120" s="55">
        <v>39.238500000000002</v>
      </c>
      <c r="D120" s="55">
        <v>17.657325</v>
      </c>
      <c r="E120" s="28" t="s">
        <v>954</v>
      </c>
      <c r="F120" s="55">
        <v>16.42131225</v>
      </c>
      <c r="G120" s="29">
        <v>44652</v>
      </c>
      <c r="H120" s="30">
        <v>44926</v>
      </c>
    </row>
    <row r="121" spans="1:8" x14ac:dyDescent="0.2">
      <c r="A121" s="32">
        <v>400064</v>
      </c>
      <c r="B121" s="27" t="s">
        <v>109</v>
      </c>
      <c r="C121" s="55">
        <v>41.98</v>
      </c>
      <c r="D121" s="55">
        <v>18.890999999999998</v>
      </c>
      <c r="E121" s="28" t="s">
        <v>954</v>
      </c>
      <c r="F121" s="55">
        <v>17.568629999999999</v>
      </c>
      <c r="G121" s="29">
        <v>44652</v>
      </c>
      <c r="H121" s="30">
        <v>44926</v>
      </c>
    </row>
    <row r="122" spans="1:8" x14ac:dyDescent="0.2">
      <c r="A122" s="32">
        <v>400066</v>
      </c>
      <c r="B122" s="27" t="s">
        <v>110</v>
      </c>
      <c r="C122" s="55">
        <v>37.200000000000003</v>
      </c>
      <c r="D122" s="55">
        <v>16.740000000000002</v>
      </c>
      <c r="E122" s="28" t="s">
        <v>954</v>
      </c>
      <c r="F122" s="55">
        <v>15.568200000000003</v>
      </c>
      <c r="G122" s="29">
        <v>44652</v>
      </c>
      <c r="H122" s="30">
        <v>44926</v>
      </c>
    </row>
    <row r="123" spans="1:8" x14ac:dyDescent="0.2">
      <c r="A123" s="32">
        <v>400067</v>
      </c>
      <c r="B123" s="27" t="s">
        <v>111</v>
      </c>
      <c r="C123" s="55">
        <v>37.200000000000003</v>
      </c>
      <c r="D123" s="55">
        <v>16.740000000000002</v>
      </c>
      <c r="E123" s="28" t="s">
        <v>954</v>
      </c>
      <c r="F123" s="55">
        <v>15.568200000000003</v>
      </c>
      <c r="G123" s="29">
        <v>44652</v>
      </c>
      <c r="H123" s="30">
        <v>44926</v>
      </c>
    </row>
    <row r="124" spans="1:8" x14ac:dyDescent="0.2">
      <c r="A124" s="32">
        <v>400068</v>
      </c>
      <c r="B124" s="27" t="s">
        <v>112</v>
      </c>
      <c r="C124" s="55">
        <v>38.409999999999997</v>
      </c>
      <c r="D124" s="55">
        <v>17.284499999999998</v>
      </c>
      <c r="E124" s="28" t="s">
        <v>954</v>
      </c>
      <c r="F124" s="55">
        <v>16.074584999999999</v>
      </c>
      <c r="G124" s="29">
        <v>44652</v>
      </c>
      <c r="H124" s="30">
        <v>44926</v>
      </c>
    </row>
    <row r="125" spans="1:8" x14ac:dyDescent="0.2">
      <c r="A125" s="32">
        <v>400075</v>
      </c>
      <c r="B125" s="27" t="s">
        <v>113</v>
      </c>
      <c r="C125" s="55">
        <v>41.52</v>
      </c>
      <c r="D125" s="55">
        <v>18.684000000000001</v>
      </c>
      <c r="E125" s="28" t="s">
        <v>954</v>
      </c>
      <c r="F125" s="55">
        <v>17.37612</v>
      </c>
      <c r="G125" s="29">
        <v>44652</v>
      </c>
      <c r="H125" s="30">
        <v>44926</v>
      </c>
    </row>
    <row r="126" spans="1:8" x14ac:dyDescent="0.2">
      <c r="A126" s="32">
        <v>400077</v>
      </c>
      <c r="B126" s="27" t="s">
        <v>114</v>
      </c>
      <c r="C126" s="55">
        <v>23.761500000000002</v>
      </c>
      <c r="D126" s="55">
        <v>10.692675000000001</v>
      </c>
      <c r="E126" s="28" t="s">
        <v>954</v>
      </c>
      <c r="F126" s="55">
        <v>9.9441877500000011</v>
      </c>
      <c r="G126" s="29">
        <v>44652</v>
      </c>
      <c r="H126" s="30">
        <v>44926</v>
      </c>
    </row>
    <row r="127" spans="1:8" x14ac:dyDescent="0.2">
      <c r="A127" s="32">
        <v>400078</v>
      </c>
      <c r="B127" s="27" t="s">
        <v>115</v>
      </c>
      <c r="C127" s="55">
        <v>58.390500000000003</v>
      </c>
      <c r="D127" s="55">
        <v>26.275725000000001</v>
      </c>
      <c r="E127" s="28" t="s">
        <v>954</v>
      </c>
      <c r="F127" s="55">
        <v>24.436424250000002</v>
      </c>
      <c r="G127" s="29">
        <v>44652</v>
      </c>
      <c r="H127" s="30">
        <v>44926</v>
      </c>
    </row>
    <row r="128" spans="1:8" x14ac:dyDescent="0.2">
      <c r="A128" s="32">
        <v>400080</v>
      </c>
      <c r="B128" s="27" t="s">
        <v>116</v>
      </c>
      <c r="C128" s="55">
        <v>95.04</v>
      </c>
      <c r="D128" s="55">
        <v>42.768000000000001</v>
      </c>
      <c r="E128" s="28" t="s">
        <v>954</v>
      </c>
      <c r="F128" s="55">
        <v>39.774240000000006</v>
      </c>
      <c r="G128" s="29">
        <v>44652</v>
      </c>
      <c r="H128" s="30">
        <v>44926</v>
      </c>
    </row>
    <row r="129" spans="1:8" x14ac:dyDescent="0.2">
      <c r="A129" s="32">
        <v>400082</v>
      </c>
      <c r="B129" s="27" t="s">
        <v>1018</v>
      </c>
      <c r="C129" s="55">
        <v>37.729999999999997</v>
      </c>
      <c r="D129" s="55">
        <v>16.9785</v>
      </c>
      <c r="E129" s="28" t="s">
        <v>954</v>
      </c>
      <c r="F129" s="55">
        <v>15.790005000000001</v>
      </c>
      <c r="G129" s="29">
        <v>44652</v>
      </c>
      <c r="H129" s="30">
        <v>44926</v>
      </c>
    </row>
    <row r="130" spans="1:8" x14ac:dyDescent="0.2">
      <c r="A130" s="32">
        <v>400083</v>
      </c>
      <c r="B130" s="27" t="s">
        <v>1021</v>
      </c>
      <c r="C130" s="55">
        <v>29.65</v>
      </c>
      <c r="D130" s="55">
        <v>13.342499999999999</v>
      </c>
      <c r="E130" s="28" t="s">
        <v>954</v>
      </c>
      <c r="F130" s="55">
        <v>12.408525000000001</v>
      </c>
      <c r="G130" s="29">
        <v>44652</v>
      </c>
      <c r="H130" s="30">
        <v>44926</v>
      </c>
    </row>
    <row r="131" spans="1:8" x14ac:dyDescent="0.2">
      <c r="A131" s="32">
        <v>400085</v>
      </c>
      <c r="B131" s="27" t="s">
        <v>1021</v>
      </c>
      <c r="C131" s="55">
        <v>30.11</v>
      </c>
      <c r="D131" s="55">
        <v>13.5495</v>
      </c>
      <c r="E131" s="28" t="s">
        <v>954</v>
      </c>
      <c r="F131" s="55">
        <v>12.601035000000001</v>
      </c>
      <c r="G131" s="29">
        <v>44652</v>
      </c>
      <c r="H131" s="30">
        <v>44926</v>
      </c>
    </row>
    <row r="132" spans="1:8" x14ac:dyDescent="0.2">
      <c r="A132" s="32">
        <v>400089</v>
      </c>
      <c r="B132" s="27" t="s">
        <v>117</v>
      </c>
      <c r="C132" s="55">
        <v>36.33</v>
      </c>
      <c r="D132" s="55">
        <v>16.348500000000001</v>
      </c>
      <c r="E132" s="28" t="s">
        <v>954</v>
      </c>
      <c r="F132" s="55">
        <v>15.204105000000002</v>
      </c>
      <c r="G132" s="29">
        <v>44652</v>
      </c>
      <c r="H132" s="30">
        <v>44926</v>
      </c>
    </row>
    <row r="133" spans="1:8" x14ac:dyDescent="0.2">
      <c r="A133" s="32">
        <v>400093</v>
      </c>
      <c r="B133" s="27" t="s">
        <v>1017</v>
      </c>
      <c r="C133" s="55">
        <v>59.7</v>
      </c>
      <c r="D133" s="55">
        <v>26.865000000000002</v>
      </c>
      <c r="E133" s="28" t="s">
        <v>954</v>
      </c>
      <c r="F133" s="55">
        <v>24.984450000000002</v>
      </c>
      <c r="G133" s="29">
        <v>44652</v>
      </c>
      <c r="H133" s="30">
        <v>44926</v>
      </c>
    </row>
    <row r="134" spans="1:8" x14ac:dyDescent="0.2">
      <c r="A134" s="32">
        <v>400095</v>
      </c>
      <c r="B134" s="27" t="s">
        <v>118</v>
      </c>
      <c r="C134" s="55">
        <v>34.31</v>
      </c>
      <c r="D134" s="55">
        <v>15.439500000000001</v>
      </c>
      <c r="E134" s="28" t="s">
        <v>954</v>
      </c>
      <c r="F134" s="55">
        <v>14.358735000000001</v>
      </c>
      <c r="G134" s="29">
        <v>44652</v>
      </c>
      <c r="H134" s="30">
        <v>44926</v>
      </c>
    </row>
    <row r="135" spans="1:8" x14ac:dyDescent="0.2">
      <c r="A135" s="32">
        <v>400101</v>
      </c>
      <c r="B135" s="27" t="s">
        <v>1013</v>
      </c>
      <c r="C135" s="55">
        <v>82</v>
      </c>
      <c r="D135" s="55">
        <v>36.9</v>
      </c>
      <c r="E135" s="28" t="s">
        <v>8</v>
      </c>
      <c r="F135" s="55"/>
      <c r="G135" s="29">
        <v>44652</v>
      </c>
      <c r="H135" s="30">
        <v>44926</v>
      </c>
    </row>
    <row r="136" spans="1:8" x14ac:dyDescent="0.2">
      <c r="A136" s="32">
        <v>400116</v>
      </c>
      <c r="B136" s="27" t="s">
        <v>1015</v>
      </c>
      <c r="C136" s="55">
        <v>85</v>
      </c>
      <c r="D136" s="55">
        <v>38.25</v>
      </c>
      <c r="E136" s="28" t="s">
        <v>8</v>
      </c>
      <c r="F136" s="55"/>
      <c r="G136" s="29">
        <v>44652</v>
      </c>
      <c r="H136" s="30">
        <v>44926</v>
      </c>
    </row>
    <row r="137" spans="1:8" x14ac:dyDescent="0.2">
      <c r="A137" s="32">
        <v>400134</v>
      </c>
      <c r="B137" s="27" t="s">
        <v>1016</v>
      </c>
      <c r="C137" s="55">
        <v>66</v>
      </c>
      <c r="D137" s="55">
        <v>29.7</v>
      </c>
      <c r="E137" s="28" t="s">
        <v>8</v>
      </c>
      <c r="F137" s="55"/>
      <c r="G137" s="29">
        <v>44652</v>
      </c>
      <c r="H137" s="30">
        <v>44926</v>
      </c>
    </row>
    <row r="138" spans="1:8" x14ac:dyDescent="0.2">
      <c r="A138" s="32">
        <v>400135</v>
      </c>
      <c r="B138" s="27" t="s">
        <v>1014</v>
      </c>
      <c r="C138" s="55">
        <v>65</v>
      </c>
      <c r="D138" s="55">
        <v>29.25</v>
      </c>
      <c r="E138" s="28" t="s">
        <v>8</v>
      </c>
      <c r="F138" s="55"/>
      <c r="G138" s="29">
        <v>44652</v>
      </c>
      <c r="H138" s="30">
        <v>44926</v>
      </c>
    </row>
    <row r="139" spans="1:8" x14ac:dyDescent="0.2">
      <c r="A139" s="32">
        <v>400544</v>
      </c>
      <c r="B139" s="27" t="s">
        <v>119</v>
      </c>
      <c r="C139" s="55">
        <v>241.22700000000003</v>
      </c>
      <c r="D139" s="55">
        <v>108.55215000000001</v>
      </c>
      <c r="E139" s="28" t="s">
        <v>8</v>
      </c>
      <c r="F139" s="55"/>
      <c r="G139" s="29">
        <v>44652</v>
      </c>
      <c r="H139" s="30">
        <v>44926</v>
      </c>
    </row>
    <row r="140" spans="1:8" x14ac:dyDescent="0.2">
      <c r="A140" s="32">
        <v>402037</v>
      </c>
      <c r="B140" s="27" t="s">
        <v>120</v>
      </c>
      <c r="C140" s="55">
        <v>108.2445</v>
      </c>
      <c r="D140" s="55">
        <v>48.710025000000002</v>
      </c>
      <c r="E140" s="28" t="s">
        <v>954</v>
      </c>
      <c r="F140" s="55">
        <v>45.300323250000005</v>
      </c>
      <c r="G140" s="29">
        <v>44652</v>
      </c>
      <c r="H140" s="30">
        <v>44926</v>
      </c>
    </row>
    <row r="141" spans="1:8" x14ac:dyDescent="0.2">
      <c r="A141" s="32">
        <v>402039</v>
      </c>
      <c r="B141" s="27" t="s">
        <v>121</v>
      </c>
      <c r="C141" s="55">
        <v>82</v>
      </c>
      <c r="D141" s="55">
        <v>36.9</v>
      </c>
      <c r="E141" s="28" t="s">
        <v>954</v>
      </c>
      <c r="F141" s="55">
        <v>34.317</v>
      </c>
      <c r="G141" s="29">
        <v>44652</v>
      </c>
      <c r="H141" s="30">
        <v>44926</v>
      </c>
    </row>
    <row r="142" spans="1:8" x14ac:dyDescent="0.2">
      <c r="A142" s="32">
        <v>402040</v>
      </c>
      <c r="B142" s="27" t="s">
        <v>122</v>
      </c>
      <c r="C142" s="55">
        <v>90.25</v>
      </c>
      <c r="D142" s="55">
        <v>40.612500000000004</v>
      </c>
      <c r="E142" s="28" t="s">
        <v>954</v>
      </c>
      <c r="F142" s="55">
        <v>37.769625000000005</v>
      </c>
      <c r="G142" s="29">
        <v>44652</v>
      </c>
      <c r="H142" s="30">
        <v>44926</v>
      </c>
    </row>
    <row r="143" spans="1:8" x14ac:dyDescent="0.2">
      <c r="A143" s="32">
        <v>402043</v>
      </c>
      <c r="B143" s="27" t="s">
        <v>123</v>
      </c>
      <c r="C143" s="55">
        <v>132.07950000000002</v>
      </c>
      <c r="D143" s="55">
        <v>59.435775000000014</v>
      </c>
      <c r="E143" s="28" t="s">
        <v>954</v>
      </c>
      <c r="F143" s="55">
        <v>55.275270750000018</v>
      </c>
      <c r="G143" s="29">
        <v>44652</v>
      </c>
      <c r="H143" s="30">
        <v>44926</v>
      </c>
    </row>
    <row r="144" spans="1:8" x14ac:dyDescent="0.2">
      <c r="A144" s="32">
        <v>402053</v>
      </c>
      <c r="B144" s="27" t="s">
        <v>124</v>
      </c>
      <c r="C144" s="55">
        <v>100</v>
      </c>
      <c r="D144" s="55">
        <v>45</v>
      </c>
      <c r="E144" s="28"/>
      <c r="F144" s="55">
        <v>41.85</v>
      </c>
      <c r="G144" s="29">
        <v>44652</v>
      </c>
      <c r="H144" s="30">
        <v>44926</v>
      </c>
    </row>
    <row r="145" spans="1:8" x14ac:dyDescent="0.2">
      <c r="A145" s="32">
        <v>402056</v>
      </c>
      <c r="B145" s="27" t="s">
        <v>125</v>
      </c>
      <c r="C145" s="55">
        <v>123.42750000000001</v>
      </c>
      <c r="D145" s="55">
        <v>55.542375000000007</v>
      </c>
      <c r="E145" s="28" t="s">
        <v>954</v>
      </c>
      <c r="F145" s="55">
        <v>51.654408750000009</v>
      </c>
      <c r="G145" s="29">
        <v>44652</v>
      </c>
      <c r="H145" s="30">
        <v>44926</v>
      </c>
    </row>
    <row r="146" spans="1:8" x14ac:dyDescent="0.2">
      <c r="A146" s="32">
        <v>402059</v>
      </c>
      <c r="B146" s="27" t="s">
        <v>126</v>
      </c>
      <c r="C146" s="55">
        <v>96.957000000000008</v>
      </c>
      <c r="D146" s="55">
        <v>43.630650000000003</v>
      </c>
      <c r="E146" s="28" t="s">
        <v>954</v>
      </c>
      <c r="F146" s="55">
        <v>40.576504500000006</v>
      </c>
      <c r="G146" s="29">
        <v>44652</v>
      </c>
      <c r="H146" s="30">
        <v>44926</v>
      </c>
    </row>
    <row r="147" spans="1:8" x14ac:dyDescent="0.2">
      <c r="A147" s="32">
        <v>402060</v>
      </c>
      <c r="B147" s="27" t="s">
        <v>126</v>
      </c>
      <c r="C147" s="55">
        <v>99.08850000000001</v>
      </c>
      <c r="D147" s="55">
        <v>44.589825000000005</v>
      </c>
      <c r="E147" s="28" t="s">
        <v>954</v>
      </c>
      <c r="F147" s="55">
        <v>41.468537250000004</v>
      </c>
      <c r="G147" s="29">
        <v>44652</v>
      </c>
      <c r="H147" s="30">
        <v>44926</v>
      </c>
    </row>
    <row r="148" spans="1:8" x14ac:dyDescent="0.2">
      <c r="A148" s="32">
        <v>402063</v>
      </c>
      <c r="B148" s="27" t="s">
        <v>127</v>
      </c>
      <c r="C148" s="55">
        <v>138.054</v>
      </c>
      <c r="D148" s="55">
        <v>62.124300000000005</v>
      </c>
      <c r="E148" s="28" t="s">
        <v>954</v>
      </c>
      <c r="F148" s="55">
        <v>57.775599000000007</v>
      </c>
      <c r="G148" s="29">
        <v>44652</v>
      </c>
      <c r="H148" s="30">
        <v>44926</v>
      </c>
    </row>
    <row r="149" spans="1:8" x14ac:dyDescent="0.2">
      <c r="A149" s="32">
        <v>402065</v>
      </c>
      <c r="B149" s="27" t="s">
        <v>128</v>
      </c>
      <c r="C149" s="55">
        <v>113.5155</v>
      </c>
      <c r="D149" s="55">
        <v>51.081975</v>
      </c>
      <c r="E149" s="28" t="s">
        <v>954</v>
      </c>
      <c r="F149" s="55">
        <v>47.506236749999999</v>
      </c>
      <c r="G149" s="29">
        <v>44652</v>
      </c>
      <c r="H149" s="30">
        <v>44926</v>
      </c>
    </row>
    <row r="150" spans="1:8" x14ac:dyDescent="0.2">
      <c r="A150" s="32">
        <v>402066</v>
      </c>
      <c r="B150" s="27" t="s">
        <v>129</v>
      </c>
      <c r="C150" s="55">
        <v>90.35</v>
      </c>
      <c r="D150" s="55">
        <v>40.657499999999999</v>
      </c>
      <c r="E150" s="28" t="s">
        <v>954</v>
      </c>
      <c r="F150" s="55">
        <v>37.811475000000002</v>
      </c>
      <c r="G150" s="29">
        <v>44652</v>
      </c>
      <c r="H150" s="30">
        <v>44926</v>
      </c>
    </row>
    <row r="151" spans="1:8" x14ac:dyDescent="0.2">
      <c r="A151" s="32">
        <v>402067</v>
      </c>
      <c r="B151" s="27" t="s">
        <v>129</v>
      </c>
      <c r="C151" s="55">
        <v>96.6</v>
      </c>
      <c r="D151" s="55">
        <v>43.47</v>
      </c>
      <c r="E151" s="28" t="s">
        <v>954</v>
      </c>
      <c r="F151" s="55">
        <v>40.427100000000003</v>
      </c>
      <c r="G151" s="29">
        <v>44652</v>
      </c>
      <c r="H151" s="30">
        <v>44926</v>
      </c>
    </row>
    <row r="152" spans="1:8" x14ac:dyDescent="0.2">
      <c r="A152" s="32">
        <v>402070</v>
      </c>
      <c r="B152" s="27" t="s">
        <v>130</v>
      </c>
      <c r="C152" s="55">
        <v>110.1555</v>
      </c>
      <c r="D152" s="55">
        <v>49.569974999999999</v>
      </c>
      <c r="E152" s="28" t="s">
        <v>954</v>
      </c>
      <c r="F152" s="55">
        <v>46.100076749999999</v>
      </c>
      <c r="G152" s="29">
        <v>44652</v>
      </c>
      <c r="H152" s="30">
        <v>44926</v>
      </c>
    </row>
    <row r="153" spans="1:8" x14ac:dyDescent="0.2">
      <c r="A153" s="32">
        <v>402075</v>
      </c>
      <c r="B153" s="27" t="s">
        <v>131</v>
      </c>
      <c r="C153" s="55">
        <v>141.54000000000002</v>
      </c>
      <c r="D153" s="55">
        <v>63.693000000000012</v>
      </c>
      <c r="E153" s="28"/>
      <c r="F153" s="55">
        <v>59.234490000000015</v>
      </c>
      <c r="G153" s="29">
        <v>44652</v>
      </c>
      <c r="H153" s="30">
        <v>44926</v>
      </c>
    </row>
    <row r="154" spans="1:8" x14ac:dyDescent="0.2">
      <c r="A154" s="32">
        <v>402083</v>
      </c>
      <c r="B154" s="27" t="s">
        <v>1249</v>
      </c>
      <c r="C154" s="55">
        <v>110.3655</v>
      </c>
      <c r="D154" s="55">
        <v>49.664475000000003</v>
      </c>
      <c r="E154" s="28" t="s">
        <v>954</v>
      </c>
      <c r="F154" s="55">
        <v>46.187961750000007</v>
      </c>
      <c r="G154" s="29">
        <v>44652</v>
      </c>
      <c r="H154" s="30">
        <v>44926</v>
      </c>
    </row>
    <row r="155" spans="1:8" x14ac:dyDescent="0.2">
      <c r="A155" s="32">
        <v>402086</v>
      </c>
      <c r="B155" s="27" t="s">
        <v>132</v>
      </c>
      <c r="C155" s="55">
        <v>93.05</v>
      </c>
      <c r="D155" s="55">
        <v>41.872500000000002</v>
      </c>
      <c r="E155" s="28" t="s">
        <v>954</v>
      </c>
      <c r="F155" s="55">
        <v>38.941425000000002</v>
      </c>
      <c r="G155" s="29">
        <v>44652</v>
      </c>
      <c r="H155" s="30">
        <v>44926</v>
      </c>
    </row>
    <row r="156" spans="1:8" x14ac:dyDescent="0.2">
      <c r="A156" s="32">
        <v>402089</v>
      </c>
      <c r="B156" s="27" t="s">
        <v>133</v>
      </c>
      <c r="C156" s="55">
        <v>146.00250000000003</v>
      </c>
      <c r="D156" s="55">
        <v>65.701125000000019</v>
      </c>
      <c r="E156" s="28" t="s">
        <v>954</v>
      </c>
      <c r="F156" s="55">
        <v>61.102046250000022</v>
      </c>
      <c r="G156" s="29">
        <v>44652</v>
      </c>
      <c r="H156" s="30">
        <v>44926</v>
      </c>
    </row>
    <row r="157" spans="1:8" x14ac:dyDescent="0.2">
      <c r="A157" s="32">
        <v>402093</v>
      </c>
      <c r="B157" s="27" t="s">
        <v>134</v>
      </c>
      <c r="C157" s="55">
        <v>118.2</v>
      </c>
      <c r="D157" s="55">
        <v>53.190000000000005</v>
      </c>
      <c r="E157" s="28" t="s">
        <v>954</v>
      </c>
      <c r="F157" s="55">
        <v>49.46670000000001</v>
      </c>
      <c r="G157" s="29">
        <v>44652</v>
      </c>
      <c r="H157" s="30">
        <v>44926</v>
      </c>
    </row>
    <row r="158" spans="1:8" x14ac:dyDescent="0.2">
      <c r="A158" s="32">
        <v>402100</v>
      </c>
      <c r="B158" s="27" t="s">
        <v>135</v>
      </c>
      <c r="C158" s="55">
        <v>118</v>
      </c>
      <c r="D158" s="55">
        <v>53.1</v>
      </c>
      <c r="E158" s="28" t="s">
        <v>8</v>
      </c>
      <c r="F158" s="55"/>
      <c r="G158" s="29">
        <v>44652</v>
      </c>
      <c r="H158" s="30">
        <v>44926</v>
      </c>
    </row>
    <row r="159" spans="1:8" x14ac:dyDescent="0.2">
      <c r="A159" s="32">
        <v>402101</v>
      </c>
      <c r="B159" s="27" t="s">
        <v>149</v>
      </c>
      <c r="C159" s="55">
        <v>123</v>
      </c>
      <c r="D159" s="55">
        <v>55.35</v>
      </c>
      <c r="E159" s="28" t="s">
        <v>8</v>
      </c>
      <c r="F159" s="55"/>
      <c r="G159" s="29">
        <v>44652</v>
      </c>
      <c r="H159" s="30">
        <v>44926</v>
      </c>
    </row>
    <row r="160" spans="1:8" x14ac:dyDescent="0.2">
      <c r="A160" s="32">
        <v>402102</v>
      </c>
      <c r="B160" s="27" t="s">
        <v>136</v>
      </c>
      <c r="C160" s="55">
        <v>117</v>
      </c>
      <c r="D160" s="55">
        <v>52.65</v>
      </c>
      <c r="E160" s="28" t="s">
        <v>8</v>
      </c>
      <c r="F160" s="55"/>
      <c r="G160" s="29">
        <v>44652</v>
      </c>
      <c r="H160" s="30">
        <v>44926</v>
      </c>
    </row>
    <row r="161" spans="1:8" x14ac:dyDescent="0.2">
      <c r="A161" s="32">
        <v>402103</v>
      </c>
      <c r="B161" s="27" t="s">
        <v>137</v>
      </c>
      <c r="C161" s="55">
        <v>122</v>
      </c>
      <c r="D161" s="55">
        <v>54.9</v>
      </c>
      <c r="E161" s="28" t="s">
        <v>8</v>
      </c>
      <c r="F161" s="55"/>
      <c r="G161" s="29">
        <v>44652</v>
      </c>
      <c r="H161" s="30">
        <v>44926</v>
      </c>
    </row>
    <row r="162" spans="1:8" x14ac:dyDescent="0.2">
      <c r="A162" s="32">
        <v>402104</v>
      </c>
      <c r="B162" s="27" t="s">
        <v>1236</v>
      </c>
      <c r="C162" s="55">
        <v>125</v>
      </c>
      <c r="D162" s="55">
        <v>56.25</v>
      </c>
      <c r="E162" s="28" t="s">
        <v>8</v>
      </c>
      <c r="F162" s="55"/>
      <c r="G162" s="29">
        <v>44652</v>
      </c>
      <c r="H162" s="30">
        <v>44926</v>
      </c>
    </row>
    <row r="163" spans="1:8" x14ac:dyDescent="0.2">
      <c r="A163" s="32">
        <v>402105</v>
      </c>
      <c r="B163" s="27" t="s">
        <v>138</v>
      </c>
      <c r="C163" s="55">
        <v>116</v>
      </c>
      <c r="D163" s="55">
        <v>52.2</v>
      </c>
      <c r="E163" s="28" t="s">
        <v>8</v>
      </c>
      <c r="F163" s="55"/>
      <c r="G163" s="29">
        <v>44652</v>
      </c>
      <c r="H163" s="30">
        <v>44926</v>
      </c>
    </row>
    <row r="164" spans="1:8" x14ac:dyDescent="0.2">
      <c r="A164" s="32">
        <v>402106</v>
      </c>
      <c r="B164" s="27" t="s">
        <v>1235</v>
      </c>
      <c r="C164" s="55">
        <v>120</v>
      </c>
      <c r="D164" s="55">
        <v>54</v>
      </c>
      <c r="E164" s="28" t="s">
        <v>8</v>
      </c>
      <c r="F164" s="55"/>
      <c r="G164" s="29">
        <v>44652</v>
      </c>
      <c r="H164" s="30">
        <v>44926</v>
      </c>
    </row>
    <row r="165" spans="1:8" x14ac:dyDescent="0.2">
      <c r="A165" s="32">
        <v>402107</v>
      </c>
      <c r="B165" s="27" t="s">
        <v>1234</v>
      </c>
      <c r="C165" s="55">
        <v>118</v>
      </c>
      <c r="D165" s="55">
        <v>53.1</v>
      </c>
      <c r="E165" s="28" t="s">
        <v>8</v>
      </c>
      <c r="F165" s="55"/>
      <c r="G165" s="29">
        <v>44652</v>
      </c>
      <c r="H165" s="30">
        <v>44926</v>
      </c>
    </row>
    <row r="166" spans="1:8" x14ac:dyDescent="0.2">
      <c r="A166" s="32">
        <v>402110</v>
      </c>
      <c r="B166" s="27" t="s">
        <v>139</v>
      </c>
      <c r="C166" s="55">
        <v>120</v>
      </c>
      <c r="D166" s="55">
        <v>54</v>
      </c>
      <c r="E166" s="28" t="s">
        <v>8</v>
      </c>
      <c r="F166" s="55"/>
      <c r="G166" s="29">
        <v>44652</v>
      </c>
      <c r="H166" s="30">
        <v>44926</v>
      </c>
    </row>
    <row r="167" spans="1:8" x14ac:dyDescent="0.2">
      <c r="A167" s="32">
        <v>402111</v>
      </c>
      <c r="B167" s="27" t="s">
        <v>140</v>
      </c>
      <c r="C167" s="55">
        <v>120</v>
      </c>
      <c r="D167" s="55">
        <v>54</v>
      </c>
      <c r="E167" s="28" t="s">
        <v>8</v>
      </c>
      <c r="F167" s="55"/>
      <c r="G167" s="29">
        <v>44652</v>
      </c>
      <c r="H167" s="30">
        <v>44926</v>
      </c>
    </row>
    <row r="168" spans="1:8" x14ac:dyDescent="0.2">
      <c r="A168" s="32">
        <v>402112</v>
      </c>
      <c r="B168" s="27" t="s">
        <v>141</v>
      </c>
      <c r="C168" s="55">
        <v>117</v>
      </c>
      <c r="D168" s="55">
        <v>52.65</v>
      </c>
      <c r="E168" s="28" t="s">
        <v>8</v>
      </c>
      <c r="F168" s="55"/>
      <c r="G168" s="29">
        <v>44652</v>
      </c>
      <c r="H168" s="30">
        <v>44926</v>
      </c>
    </row>
    <row r="169" spans="1:8" x14ac:dyDescent="0.2">
      <c r="A169" s="32">
        <v>402113</v>
      </c>
      <c r="B169" s="27" t="s">
        <v>142</v>
      </c>
      <c r="C169" s="55">
        <v>118</v>
      </c>
      <c r="D169" s="55">
        <v>53.1</v>
      </c>
      <c r="E169" s="28" t="s">
        <v>8</v>
      </c>
      <c r="F169" s="55"/>
      <c r="G169" s="29">
        <v>44652</v>
      </c>
      <c r="H169" s="30">
        <v>44926</v>
      </c>
    </row>
    <row r="170" spans="1:8" x14ac:dyDescent="0.2">
      <c r="A170" s="32">
        <v>402120</v>
      </c>
      <c r="B170" s="27" t="s">
        <v>143</v>
      </c>
      <c r="C170" s="55">
        <v>133.9905</v>
      </c>
      <c r="D170" s="55">
        <v>60.295724999999997</v>
      </c>
      <c r="E170" s="28" t="s">
        <v>8</v>
      </c>
      <c r="F170" s="55"/>
      <c r="G170" s="29">
        <v>44652</v>
      </c>
      <c r="H170" s="30">
        <v>44926</v>
      </c>
    </row>
    <row r="171" spans="1:8" x14ac:dyDescent="0.2">
      <c r="A171" s="32">
        <v>402121</v>
      </c>
      <c r="B171" s="27" t="s">
        <v>1244</v>
      </c>
      <c r="C171" s="55">
        <v>133.9905</v>
      </c>
      <c r="D171" s="55">
        <v>60.295724999999997</v>
      </c>
      <c r="E171" s="28" t="s">
        <v>8</v>
      </c>
      <c r="F171" s="55"/>
      <c r="G171" s="29">
        <v>44652</v>
      </c>
      <c r="H171" s="30">
        <v>44926</v>
      </c>
    </row>
    <row r="172" spans="1:8" x14ac:dyDescent="0.2">
      <c r="A172" s="32">
        <v>402122</v>
      </c>
      <c r="B172" s="27" t="s">
        <v>144</v>
      </c>
      <c r="C172" s="55">
        <v>134.72550000000001</v>
      </c>
      <c r="D172" s="55">
        <v>60.626475000000006</v>
      </c>
      <c r="E172" s="28" t="s">
        <v>8</v>
      </c>
      <c r="F172" s="55"/>
      <c r="G172" s="29">
        <v>44652</v>
      </c>
      <c r="H172" s="30">
        <v>44926</v>
      </c>
    </row>
    <row r="173" spans="1:8" x14ac:dyDescent="0.2">
      <c r="A173" s="32">
        <v>402123</v>
      </c>
      <c r="B173" s="27" t="s">
        <v>145</v>
      </c>
      <c r="C173" s="55">
        <v>134.62050000000002</v>
      </c>
      <c r="D173" s="55">
        <v>60.579225000000008</v>
      </c>
      <c r="E173" s="28" t="s">
        <v>8</v>
      </c>
      <c r="F173" s="55"/>
      <c r="G173" s="29">
        <v>44652</v>
      </c>
      <c r="H173" s="30">
        <v>44926</v>
      </c>
    </row>
    <row r="174" spans="1:8" x14ac:dyDescent="0.2">
      <c r="A174" s="32">
        <v>402125</v>
      </c>
      <c r="B174" s="27" t="s">
        <v>1239</v>
      </c>
      <c r="C174" s="55">
        <v>149</v>
      </c>
      <c r="D174" s="55">
        <v>67.05</v>
      </c>
      <c r="E174" s="28" t="s">
        <v>8</v>
      </c>
      <c r="F174" s="55"/>
      <c r="G174" s="29">
        <v>44652</v>
      </c>
      <c r="H174" s="30">
        <v>44926</v>
      </c>
    </row>
    <row r="175" spans="1:8" x14ac:dyDescent="0.2">
      <c r="A175" s="32">
        <v>402134</v>
      </c>
      <c r="B175" s="27" t="s">
        <v>1240</v>
      </c>
      <c r="C175" s="55">
        <v>149</v>
      </c>
      <c r="D175" s="55">
        <v>67.05</v>
      </c>
      <c r="E175" s="28" t="s">
        <v>8</v>
      </c>
      <c r="F175" s="55"/>
      <c r="G175" s="29">
        <v>44652</v>
      </c>
      <c r="H175" s="30">
        <v>44926</v>
      </c>
    </row>
    <row r="176" spans="1:8" x14ac:dyDescent="0.2">
      <c r="A176" s="32">
        <v>402140</v>
      </c>
      <c r="B176" s="27" t="s">
        <v>146</v>
      </c>
      <c r="C176" s="55">
        <v>166.27800000000002</v>
      </c>
      <c r="D176" s="55">
        <v>74.825100000000006</v>
      </c>
      <c r="E176" s="28"/>
      <c r="F176" s="55">
        <v>69.587343000000004</v>
      </c>
      <c r="G176" s="29">
        <v>44652</v>
      </c>
      <c r="H176" s="30">
        <v>44926</v>
      </c>
    </row>
    <row r="177" spans="1:8" x14ac:dyDescent="0.2">
      <c r="A177" s="32">
        <v>402141</v>
      </c>
      <c r="B177" s="27" t="s">
        <v>1250</v>
      </c>
      <c r="C177" s="55">
        <v>166.27800000000002</v>
      </c>
      <c r="D177" s="55">
        <v>74.825100000000006</v>
      </c>
      <c r="E177" s="28" t="s">
        <v>954</v>
      </c>
      <c r="F177" s="55">
        <v>69.587343000000004</v>
      </c>
      <c r="G177" s="29">
        <v>44652</v>
      </c>
      <c r="H177" s="30">
        <v>44926</v>
      </c>
    </row>
    <row r="178" spans="1:8" x14ac:dyDescent="0.2">
      <c r="A178" s="32">
        <v>403041</v>
      </c>
      <c r="B178" s="27" t="s">
        <v>1246</v>
      </c>
      <c r="C178" s="55">
        <v>129.59100000000001</v>
      </c>
      <c r="D178" s="55">
        <v>58.315950000000008</v>
      </c>
      <c r="E178" s="28" t="s">
        <v>954</v>
      </c>
      <c r="F178" s="55">
        <v>54.23383350000001</v>
      </c>
      <c r="G178" s="29">
        <v>44652</v>
      </c>
      <c r="H178" s="30">
        <v>44926</v>
      </c>
    </row>
    <row r="179" spans="1:8" x14ac:dyDescent="0.2">
      <c r="A179" s="32">
        <v>403043</v>
      </c>
      <c r="B179" s="27" t="s">
        <v>147</v>
      </c>
      <c r="C179" s="55">
        <v>146.601</v>
      </c>
      <c r="D179" s="55">
        <v>65.97045</v>
      </c>
      <c r="E179" s="28" t="s">
        <v>954</v>
      </c>
      <c r="F179" s="55">
        <v>61.352518500000002</v>
      </c>
      <c r="G179" s="29">
        <v>44652</v>
      </c>
      <c r="H179" s="30">
        <v>44926</v>
      </c>
    </row>
    <row r="180" spans="1:8" x14ac:dyDescent="0.2">
      <c r="A180" s="32">
        <v>403053</v>
      </c>
      <c r="B180" s="27" t="s">
        <v>1245</v>
      </c>
      <c r="C180" s="55">
        <v>97</v>
      </c>
      <c r="D180" s="55">
        <v>43.65</v>
      </c>
      <c r="E180" s="28" t="s">
        <v>954</v>
      </c>
      <c r="F180" s="55">
        <v>40.594500000000004</v>
      </c>
      <c r="G180" s="29">
        <v>44652</v>
      </c>
      <c r="H180" s="30">
        <v>44926</v>
      </c>
    </row>
    <row r="181" spans="1:8" x14ac:dyDescent="0.2">
      <c r="A181" s="32">
        <v>403061</v>
      </c>
      <c r="B181" s="27" t="s">
        <v>148</v>
      </c>
      <c r="C181" s="55">
        <v>136.27949999999998</v>
      </c>
      <c r="D181" s="55">
        <v>61.325774999999993</v>
      </c>
      <c r="E181" s="28" t="s">
        <v>954</v>
      </c>
      <c r="F181" s="55">
        <v>57.032970749999997</v>
      </c>
      <c r="G181" s="29">
        <v>44652</v>
      </c>
      <c r="H181" s="30">
        <v>44926</v>
      </c>
    </row>
    <row r="182" spans="1:8" x14ac:dyDescent="0.2">
      <c r="A182" s="32">
        <v>403101</v>
      </c>
      <c r="B182" s="27" t="s">
        <v>149</v>
      </c>
      <c r="C182" s="55">
        <v>110</v>
      </c>
      <c r="D182" s="55">
        <v>49.5</v>
      </c>
      <c r="E182" s="28" t="s">
        <v>8</v>
      </c>
      <c r="F182" s="55"/>
      <c r="G182" s="29">
        <v>44652</v>
      </c>
      <c r="H182" s="30">
        <v>44926</v>
      </c>
    </row>
    <row r="183" spans="1:8" x14ac:dyDescent="0.2">
      <c r="A183" s="32">
        <v>404000</v>
      </c>
      <c r="B183" s="27" t="s">
        <v>1009</v>
      </c>
      <c r="C183" s="55">
        <v>116.22</v>
      </c>
      <c r="D183" s="55">
        <v>52.298999999999999</v>
      </c>
      <c r="E183" s="28" t="s">
        <v>954</v>
      </c>
      <c r="F183" s="55">
        <v>48.638069999999999</v>
      </c>
      <c r="G183" s="29">
        <v>44652</v>
      </c>
      <c r="H183" s="30">
        <v>44926</v>
      </c>
    </row>
    <row r="184" spans="1:8" x14ac:dyDescent="0.2">
      <c r="A184" s="32">
        <v>404002</v>
      </c>
      <c r="B184" s="27" t="s">
        <v>150</v>
      </c>
      <c r="C184" s="55">
        <v>329.97300000000001</v>
      </c>
      <c r="D184" s="55">
        <v>148.48785000000001</v>
      </c>
      <c r="E184" s="28" t="s">
        <v>954</v>
      </c>
      <c r="F184" s="55">
        <v>138.09370050000001</v>
      </c>
      <c r="G184" s="29">
        <v>44652</v>
      </c>
      <c r="H184" s="30">
        <v>44926</v>
      </c>
    </row>
    <row r="185" spans="1:8" x14ac:dyDescent="0.2">
      <c r="A185" s="32">
        <v>404003</v>
      </c>
      <c r="B185" s="27" t="s">
        <v>1206</v>
      </c>
      <c r="C185" s="55">
        <v>350.89949999999999</v>
      </c>
      <c r="D185" s="55">
        <v>157.904775</v>
      </c>
      <c r="E185" s="28" t="s">
        <v>954</v>
      </c>
      <c r="F185" s="55">
        <v>146.85144074999999</v>
      </c>
      <c r="G185" s="29">
        <v>44652</v>
      </c>
      <c r="H185" s="30">
        <v>44926</v>
      </c>
    </row>
    <row r="186" spans="1:8" x14ac:dyDescent="0.2">
      <c r="A186" s="32">
        <v>405114</v>
      </c>
      <c r="B186" s="27" t="s">
        <v>1237</v>
      </c>
      <c r="C186" s="55">
        <v>158</v>
      </c>
      <c r="D186" s="55">
        <v>71.100000000000009</v>
      </c>
      <c r="E186" s="28" t="s">
        <v>8</v>
      </c>
      <c r="F186" s="55"/>
      <c r="G186" s="29">
        <v>44652</v>
      </c>
      <c r="H186" s="30">
        <v>44926</v>
      </c>
    </row>
    <row r="187" spans="1:8" x14ac:dyDescent="0.2">
      <c r="A187" s="32">
        <v>405115</v>
      </c>
      <c r="B187" s="27" t="s">
        <v>1238</v>
      </c>
      <c r="C187" s="55">
        <v>156</v>
      </c>
      <c r="D187" s="55">
        <v>70.2</v>
      </c>
      <c r="E187" s="28" t="s">
        <v>8</v>
      </c>
      <c r="F187" s="55"/>
      <c r="G187" s="29">
        <v>44652</v>
      </c>
      <c r="H187" s="30">
        <v>44926</v>
      </c>
    </row>
    <row r="188" spans="1:8" x14ac:dyDescent="0.2">
      <c r="A188" s="32">
        <v>405204</v>
      </c>
      <c r="B188" s="27" t="s">
        <v>1241</v>
      </c>
      <c r="C188" s="55">
        <v>174</v>
      </c>
      <c r="D188" s="55">
        <v>78.3</v>
      </c>
      <c r="E188" s="28" t="s">
        <v>8</v>
      </c>
      <c r="F188" s="55"/>
      <c r="G188" s="29">
        <v>44652</v>
      </c>
      <c r="H188" s="30">
        <v>44926</v>
      </c>
    </row>
    <row r="189" spans="1:8" x14ac:dyDescent="0.2">
      <c r="A189" s="32">
        <v>405205</v>
      </c>
      <c r="B189" s="27" t="s">
        <v>1242</v>
      </c>
      <c r="C189" s="55">
        <v>174</v>
      </c>
      <c r="D189" s="55">
        <v>78.3</v>
      </c>
      <c r="E189" s="28" t="s">
        <v>8</v>
      </c>
      <c r="F189" s="55"/>
      <c r="G189" s="29">
        <v>44652</v>
      </c>
      <c r="H189" s="30">
        <v>44926</v>
      </c>
    </row>
    <row r="190" spans="1:8" x14ac:dyDescent="0.2">
      <c r="A190" s="32">
        <v>405217</v>
      </c>
      <c r="B190" s="27" t="s">
        <v>1243</v>
      </c>
      <c r="C190" s="55">
        <v>174</v>
      </c>
      <c r="D190" s="55">
        <v>78.3</v>
      </c>
      <c r="E190" s="28" t="s">
        <v>8</v>
      </c>
      <c r="F190" s="55"/>
      <c r="G190" s="29">
        <v>44652</v>
      </c>
      <c r="H190" s="30">
        <v>44926</v>
      </c>
    </row>
    <row r="191" spans="1:8" x14ac:dyDescent="0.2">
      <c r="A191" s="32">
        <v>407001</v>
      </c>
      <c r="B191" s="27" t="s">
        <v>1247</v>
      </c>
      <c r="C191" s="55">
        <v>116.44500000000001</v>
      </c>
      <c r="D191" s="55">
        <v>52.400250000000007</v>
      </c>
      <c r="E191" s="28" t="s">
        <v>954</v>
      </c>
      <c r="F191" s="55">
        <v>48.732232500000009</v>
      </c>
      <c r="G191" s="29">
        <v>44652</v>
      </c>
      <c r="H191" s="30">
        <v>44926</v>
      </c>
    </row>
    <row r="192" spans="1:8" x14ac:dyDescent="0.2">
      <c r="A192" s="32">
        <v>407002</v>
      </c>
      <c r="B192" s="27" t="s">
        <v>1248</v>
      </c>
      <c r="C192" s="55">
        <v>116.44500000000001</v>
      </c>
      <c r="D192" s="55">
        <v>52.400250000000007</v>
      </c>
      <c r="E192" s="28" t="s">
        <v>954</v>
      </c>
      <c r="F192" s="55">
        <v>48.732232500000009</v>
      </c>
      <c r="G192" s="29">
        <v>44652</v>
      </c>
      <c r="H192" s="30">
        <v>44926</v>
      </c>
    </row>
    <row r="193" spans="1:8" x14ac:dyDescent="0.2">
      <c r="A193" s="32">
        <v>407097</v>
      </c>
      <c r="B193" s="27" t="s">
        <v>151</v>
      </c>
      <c r="C193" s="55">
        <v>112.29750000000001</v>
      </c>
      <c r="D193" s="55">
        <v>50.533875000000009</v>
      </c>
      <c r="E193" s="28" t="s">
        <v>954</v>
      </c>
      <c r="F193" s="55">
        <v>46.996503750000009</v>
      </c>
      <c r="G193" s="29">
        <v>44652</v>
      </c>
      <c r="H193" s="30">
        <v>44926</v>
      </c>
    </row>
    <row r="194" spans="1:8" x14ac:dyDescent="0.2">
      <c r="A194" s="32">
        <v>410002</v>
      </c>
      <c r="B194" s="27" t="s">
        <v>1202</v>
      </c>
      <c r="C194" s="55">
        <v>233.898</v>
      </c>
      <c r="D194" s="55">
        <v>105.25409999999999</v>
      </c>
      <c r="E194" s="28" t="s">
        <v>8</v>
      </c>
      <c r="F194" s="55"/>
      <c r="G194" s="29">
        <v>44652</v>
      </c>
      <c r="H194" s="30">
        <v>44926</v>
      </c>
    </row>
    <row r="195" spans="1:8" x14ac:dyDescent="0.2">
      <c r="A195" s="32">
        <v>410004</v>
      </c>
      <c r="B195" s="27" t="s">
        <v>1203</v>
      </c>
      <c r="C195" s="55">
        <v>233.02650000000003</v>
      </c>
      <c r="D195" s="55">
        <v>104.86192500000001</v>
      </c>
      <c r="E195" s="28" t="s">
        <v>8</v>
      </c>
      <c r="F195" s="55"/>
      <c r="G195" s="29">
        <v>44652</v>
      </c>
      <c r="H195" s="30">
        <v>44926</v>
      </c>
    </row>
    <row r="196" spans="1:8" x14ac:dyDescent="0.2">
      <c r="A196" s="32">
        <v>410013</v>
      </c>
      <c r="B196" s="27" t="s">
        <v>152</v>
      </c>
      <c r="C196" s="55">
        <v>136.23750000000001</v>
      </c>
      <c r="D196" s="55">
        <v>61.306875000000005</v>
      </c>
      <c r="E196" s="28" t="s">
        <v>8</v>
      </c>
      <c r="F196" s="55"/>
      <c r="G196" s="29">
        <v>44652</v>
      </c>
      <c r="H196" s="30">
        <v>44926</v>
      </c>
    </row>
    <row r="197" spans="1:8" x14ac:dyDescent="0.2">
      <c r="A197" s="32">
        <v>410014</v>
      </c>
      <c r="B197" s="27" t="s">
        <v>1201</v>
      </c>
      <c r="C197" s="55">
        <v>199.73099999999999</v>
      </c>
      <c r="D197" s="55">
        <v>89.878950000000003</v>
      </c>
      <c r="E197" s="28" t="s">
        <v>8</v>
      </c>
      <c r="F197" s="55"/>
      <c r="G197" s="29">
        <v>44652</v>
      </c>
      <c r="H197" s="30">
        <v>44926</v>
      </c>
    </row>
    <row r="198" spans="1:8" x14ac:dyDescent="0.2">
      <c r="A198" s="32">
        <v>410015</v>
      </c>
      <c r="B198" s="27" t="s">
        <v>153</v>
      </c>
      <c r="C198" s="55">
        <v>136.64699999999999</v>
      </c>
      <c r="D198" s="55">
        <v>61.491149999999998</v>
      </c>
      <c r="E198" s="28" t="s">
        <v>8</v>
      </c>
      <c r="F198" s="55"/>
      <c r="G198" s="29">
        <v>44652</v>
      </c>
      <c r="H198" s="30">
        <v>44926</v>
      </c>
    </row>
    <row r="199" spans="1:8" x14ac:dyDescent="0.2">
      <c r="A199" s="32">
        <v>410016</v>
      </c>
      <c r="B199" s="27" t="s">
        <v>1200</v>
      </c>
      <c r="C199" s="55">
        <v>199.65750000000003</v>
      </c>
      <c r="D199" s="55">
        <v>89.845875000000021</v>
      </c>
      <c r="E199" s="28" t="s">
        <v>8</v>
      </c>
      <c r="F199" s="55"/>
      <c r="G199" s="29">
        <v>44652</v>
      </c>
      <c r="H199" s="30">
        <v>44926</v>
      </c>
    </row>
    <row r="200" spans="1:8" x14ac:dyDescent="0.2">
      <c r="A200" s="32">
        <v>410018</v>
      </c>
      <c r="B200" s="27" t="s">
        <v>1204</v>
      </c>
      <c r="C200" s="55">
        <v>233.61450000000002</v>
      </c>
      <c r="D200" s="55">
        <v>105.12652500000002</v>
      </c>
      <c r="E200" s="28" t="s">
        <v>8</v>
      </c>
      <c r="F200" s="55"/>
      <c r="G200" s="29">
        <v>44652</v>
      </c>
      <c r="H200" s="30">
        <v>44926</v>
      </c>
    </row>
    <row r="201" spans="1:8" x14ac:dyDescent="0.2">
      <c r="A201" s="32">
        <v>410020</v>
      </c>
      <c r="B201" s="27" t="s">
        <v>1205</v>
      </c>
      <c r="C201" s="55">
        <v>232.4385</v>
      </c>
      <c r="D201" s="55">
        <v>104.597325</v>
      </c>
      <c r="E201" s="28" t="s">
        <v>8</v>
      </c>
      <c r="F201" s="55"/>
      <c r="G201" s="29">
        <v>44652</v>
      </c>
      <c r="H201" s="30">
        <v>44926</v>
      </c>
    </row>
    <row r="202" spans="1:8" x14ac:dyDescent="0.2">
      <c r="A202" s="32">
        <v>412017</v>
      </c>
      <c r="B202" s="27" t="s">
        <v>154</v>
      </c>
      <c r="C202" s="55">
        <v>311.10450000000003</v>
      </c>
      <c r="D202" s="55">
        <v>139.99702500000001</v>
      </c>
      <c r="E202" s="28" t="s">
        <v>8</v>
      </c>
      <c r="F202" s="55"/>
      <c r="G202" s="29">
        <v>44652</v>
      </c>
      <c r="H202" s="30">
        <v>44926</v>
      </c>
    </row>
    <row r="203" spans="1:8" x14ac:dyDescent="0.2">
      <c r="A203" s="32">
        <v>412018</v>
      </c>
      <c r="B203" s="27" t="s">
        <v>155</v>
      </c>
      <c r="C203" s="55">
        <v>367.37400000000002</v>
      </c>
      <c r="D203" s="55">
        <v>165.31830000000002</v>
      </c>
      <c r="E203" s="28" t="s">
        <v>8</v>
      </c>
      <c r="F203" s="55"/>
      <c r="G203" s="29">
        <v>44652</v>
      </c>
      <c r="H203" s="30">
        <v>44926</v>
      </c>
    </row>
    <row r="204" spans="1:8" x14ac:dyDescent="0.2">
      <c r="A204" s="32">
        <v>412019</v>
      </c>
      <c r="B204" s="27" t="s">
        <v>156</v>
      </c>
      <c r="C204" s="55">
        <v>310.71600000000001</v>
      </c>
      <c r="D204" s="55">
        <v>139.82220000000001</v>
      </c>
      <c r="E204" s="28" t="s">
        <v>8</v>
      </c>
      <c r="F204" s="55"/>
      <c r="G204" s="29">
        <v>44652</v>
      </c>
      <c r="H204" s="30">
        <v>44926</v>
      </c>
    </row>
    <row r="205" spans="1:8" x14ac:dyDescent="0.2">
      <c r="A205" s="32">
        <v>412020</v>
      </c>
      <c r="B205" s="27" t="s">
        <v>157</v>
      </c>
      <c r="C205" s="55">
        <v>366.50250000000005</v>
      </c>
      <c r="D205" s="55">
        <v>164.92612500000004</v>
      </c>
      <c r="E205" s="28" t="s">
        <v>8</v>
      </c>
      <c r="F205" s="55"/>
      <c r="G205" s="29">
        <v>44652</v>
      </c>
      <c r="H205" s="30">
        <v>44926</v>
      </c>
    </row>
    <row r="206" spans="1:8" x14ac:dyDescent="0.2">
      <c r="A206" s="32">
        <v>412025</v>
      </c>
      <c r="B206" s="27" t="s">
        <v>1199</v>
      </c>
      <c r="C206" s="55">
        <v>281.40000000000003</v>
      </c>
      <c r="D206" s="55">
        <v>126.63000000000002</v>
      </c>
      <c r="E206" s="28" t="s">
        <v>8</v>
      </c>
      <c r="F206" s="55"/>
      <c r="G206" s="29">
        <v>44652</v>
      </c>
      <c r="H206" s="30">
        <v>44926</v>
      </c>
    </row>
    <row r="207" spans="1:8" x14ac:dyDescent="0.2">
      <c r="A207" s="32">
        <v>412028</v>
      </c>
      <c r="B207" s="27" t="s">
        <v>1187</v>
      </c>
      <c r="C207" s="55">
        <v>348.6105</v>
      </c>
      <c r="D207" s="55">
        <v>156.87472500000001</v>
      </c>
      <c r="E207" s="28" t="s">
        <v>8</v>
      </c>
      <c r="F207" s="55"/>
      <c r="G207" s="29">
        <v>44652</v>
      </c>
      <c r="H207" s="30">
        <v>44926</v>
      </c>
    </row>
    <row r="208" spans="1:8" x14ac:dyDescent="0.2">
      <c r="A208" s="32">
        <v>412030</v>
      </c>
      <c r="B208" s="27" t="s">
        <v>1175</v>
      </c>
      <c r="C208" s="55">
        <v>283.75200000000001</v>
      </c>
      <c r="D208" s="55">
        <v>127.6884</v>
      </c>
      <c r="E208" s="28" t="s">
        <v>8</v>
      </c>
      <c r="F208" s="55"/>
      <c r="G208" s="29">
        <v>44652</v>
      </c>
      <c r="H208" s="30">
        <v>44926</v>
      </c>
    </row>
    <row r="209" spans="1:8" x14ac:dyDescent="0.2">
      <c r="A209" s="32">
        <v>412032</v>
      </c>
      <c r="B209" s="27" t="s">
        <v>1174</v>
      </c>
      <c r="C209" s="55">
        <v>284.14050000000003</v>
      </c>
      <c r="D209" s="55">
        <v>127.86322500000001</v>
      </c>
      <c r="E209" s="28" t="s">
        <v>8</v>
      </c>
      <c r="F209" s="55"/>
      <c r="G209" s="29">
        <v>44652</v>
      </c>
      <c r="H209" s="30">
        <v>44926</v>
      </c>
    </row>
    <row r="210" spans="1:8" x14ac:dyDescent="0.2">
      <c r="A210" s="32">
        <v>412047</v>
      </c>
      <c r="B210" s="27" t="s">
        <v>155</v>
      </c>
      <c r="C210" s="55">
        <v>380</v>
      </c>
      <c r="D210" s="55">
        <v>171</v>
      </c>
      <c r="E210" s="28" t="s">
        <v>8</v>
      </c>
      <c r="F210" s="55"/>
      <c r="G210" s="29">
        <v>44652</v>
      </c>
      <c r="H210" s="30">
        <v>44926</v>
      </c>
    </row>
    <row r="211" spans="1:8" x14ac:dyDescent="0.2">
      <c r="A211" s="32">
        <v>412048</v>
      </c>
      <c r="B211" s="27" t="s">
        <v>157</v>
      </c>
      <c r="C211" s="55">
        <v>380</v>
      </c>
      <c r="D211" s="55">
        <v>171</v>
      </c>
      <c r="E211" s="28" t="s">
        <v>8</v>
      </c>
      <c r="F211" s="55"/>
      <c r="G211" s="29">
        <v>44652</v>
      </c>
      <c r="H211" s="30">
        <v>44926</v>
      </c>
    </row>
    <row r="212" spans="1:8" x14ac:dyDescent="0.2">
      <c r="A212" s="32">
        <v>412059</v>
      </c>
      <c r="B212" s="27" t="s">
        <v>155</v>
      </c>
      <c r="C212" s="55">
        <v>440</v>
      </c>
      <c r="D212" s="55">
        <v>198</v>
      </c>
      <c r="E212" s="28" t="s">
        <v>8</v>
      </c>
      <c r="F212" s="55"/>
      <c r="G212" s="29">
        <v>44652</v>
      </c>
      <c r="H212" s="30">
        <v>44926</v>
      </c>
    </row>
    <row r="213" spans="1:8" x14ac:dyDescent="0.2">
      <c r="A213" s="32">
        <v>412060</v>
      </c>
      <c r="B213" s="27" t="s">
        <v>157</v>
      </c>
      <c r="C213" s="55">
        <v>440</v>
      </c>
      <c r="D213" s="55">
        <v>198</v>
      </c>
      <c r="E213" s="28" t="s">
        <v>8</v>
      </c>
      <c r="F213" s="55"/>
      <c r="G213" s="29">
        <v>44652</v>
      </c>
      <c r="H213" s="30">
        <v>44926</v>
      </c>
    </row>
    <row r="214" spans="1:8" x14ac:dyDescent="0.2">
      <c r="A214" s="32">
        <v>412069</v>
      </c>
      <c r="B214" s="27" t="s">
        <v>1198</v>
      </c>
      <c r="C214" s="55">
        <v>345.15600000000006</v>
      </c>
      <c r="D214" s="55">
        <v>155.32020000000003</v>
      </c>
      <c r="E214" s="28" t="s">
        <v>8</v>
      </c>
      <c r="F214" s="55"/>
      <c r="G214" s="29">
        <v>44652</v>
      </c>
      <c r="H214" s="30">
        <v>44926</v>
      </c>
    </row>
    <row r="215" spans="1:8" x14ac:dyDescent="0.2">
      <c r="A215" s="32">
        <v>412070</v>
      </c>
      <c r="B215" s="27" t="s">
        <v>1195</v>
      </c>
      <c r="C215" s="55">
        <v>345.55500000000006</v>
      </c>
      <c r="D215" s="55">
        <v>155.49975000000003</v>
      </c>
      <c r="E215" s="28" t="s">
        <v>8</v>
      </c>
      <c r="F215" s="55"/>
      <c r="G215" s="29">
        <v>44652</v>
      </c>
      <c r="H215" s="30">
        <v>44926</v>
      </c>
    </row>
    <row r="216" spans="1:8" x14ac:dyDescent="0.2">
      <c r="A216" s="32">
        <v>413018</v>
      </c>
      <c r="B216" s="27" t="s">
        <v>158</v>
      </c>
      <c r="C216" s="55">
        <v>363.2475</v>
      </c>
      <c r="D216" s="55">
        <v>163.461375</v>
      </c>
      <c r="E216" s="28" t="s">
        <v>8</v>
      </c>
      <c r="F216" s="55"/>
      <c r="G216" s="29">
        <v>44652</v>
      </c>
      <c r="H216" s="30">
        <v>44926</v>
      </c>
    </row>
    <row r="217" spans="1:8" x14ac:dyDescent="0.2">
      <c r="A217" s="32">
        <v>413020</v>
      </c>
      <c r="B217" s="27" t="s">
        <v>159</v>
      </c>
      <c r="C217" s="55">
        <v>362.38650000000001</v>
      </c>
      <c r="D217" s="55">
        <v>163.073925</v>
      </c>
      <c r="E217" s="28" t="s">
        <v>8</v>
      </c>
      <c r="F217" s="55"/>
      <c r="G217" s="29">
        <v>44652</v>
      </c>
      <c r="H217" s="30">
        <v>44926</v>
      </c>
    </row>
    <row r="218" spans="1:8" x14ac:dyDescent="0.2">
      <c r="A218" s="32">
        <v>413032</v>
      </c>
      <c r="B218" s="27" t="s">
        <v>1131</v>
      </c>
      <c r="C218" s="55">
        <v>259.50749999999999</v>
      </c>
      <c r="D218" s="55">
        <v>116.778375</v>
      </c>
      <c r="E218" s="28" t="s">
        <v>8</v>
      </c>
      <c r="F218" s="55"/>
      <c r="G218" s="29">
        <v>44652</v>
      </c>
      <c r="H218" s="30">
        <v>44926</v>
      </c>
    </row>
    <row r="219" spans="1:8" x14ac:dyDescent="0.2">
      <c r="A219" s="32">
        <v>413039</v>
      </c>
      <c r="B219" s="27" t="s">
        <v>1130</v>
      </c>
      <c r="C219" s="55">
        <v>279.45</v>
      </c>
      <c r="D219" s="55">
        <v>125.7525</v>
      </c>
      <c r="E219" s="28" t="s">
        <v>8</v>
      </c>
      <c r="F219" s="55"/>
      <c r="G219" s="29">
        <v>44652</v>
      </c>
      <c r="H219" s="30">
        <v>44926</v>
      </c>
    </row>
    <row r="220" spans="1:8" x14ac:dyDescent="0.2">
      <c r="A220" s="32">
        <v>413040</v>
      </c>
      <c r="B220" s="27" t="s">
        <v>1131</v>
      </c>
      <c r="C220" s="55">
        <v>309.45999999999998</v>
      </c>
      <c r="D220" s="55">
        <v>139.25700000000001</v>
      </c>
      <c r="E220" s="28" t="s">
        <v>8</v>
      </c>
      <c r="F220" s="55"/>
      <c r="G220" s="29">
        <v>44652</v>
      </c>
      <c r="H220" s="30">
        <v>44926</v>
      </c>
    </row>
    <row r="221" spans="1:8" x14ac:dyDescent="0.2">
      <c r="A221" s="32">
        <v>430002</v>
      </c>
      <c r="B221" s="27" t="s">
        <v>1141</v>
      </c>
      <c r="C221" s="55">
        <v>265</v>
      </c>
      <c r="D221" s="55">
        <v>119.25</v>
      </c>
      <c r="E221" s="28" t="s">
        <v>8</v>
      </c>
      <c r="F221" s="55"/>
      <c r="G221" s="29">
        <v>44652</v>
      </c>
      <c r="H221" s="30">
        <v>44926</v>
      </c>
    </row>
    <row r="222" spans="1:8" x14ac:dyDescent="0.2">
      <c r="A222" s="32">
        <v>430004</v>
      </c>
      <c r="B222" s="27" t="s">
        <v>1142</v>
      </c>
      <c r="C222" s="55">
        <v>263</v>
      </c>
      <c r="D222" s="55">
        <v>118.35000000000001</v>
      </c>
      <c r="E222" s="28" t="s">
        <v>8</v>
      </c>
      <c r="F222" s="55"/>
      <c r="G222" s="29">
        <v>44652</v>
      </c>
      <c r="H222" s="30">
        <v>44926</v>
      </c>
    </row>
    <row r="223" spans="1:8" x14ac:dyDescent="0.2">
      <c r="A223" s="32">
        <v>430019</v>
      </c>
      <c r="B223" s="27" t="s">
        <v>1143</v>
      </c>
      <c r="C223" s="55">
        <v>243</v>
      </c>
      <c r="D223" s="55">
        <v>109.35000000000001</v>
      </c>
      <c r="E223" s="28" t="s">
        <v>8</v>
      </c>
      <c r="F223" s="55"/>
      <c r="G223" s="29">
        <v>44652</v>
      </c>
      <c r="H223" s="30">
        <v>44926</v>
      </c>
    </row>
    <row r="224" spans="1:8" x14ac:dyDescent="0.2">
      <c r="A224" s="32">
        <v>430043</v>
      </c>
      <c r="B224" s="27" t="s">
        <v>1124</v>
      </c>
      <c r="C224" s="55">
        <v>188</v>
      </c>
      <c r="D224" s="55">
        <v>84.600000000000009</v>
      </c>
      <c r="E224" s="28" t="s">
        <v>8</v>
      </c>
      <c r="F224" s="55"/>
      <c r="G224" s="29">
        <v>44652</v>
      </c>
      <c r="H224" s="30">
        <v>44926</v>
      </c>
    </row>
    <row r="225" spans="1:8" x14ac:dyDescent="0.2">
      <c r="A225" s="32">
        <v>430071</v>
      </c>
      <c r="B225" s="27" t="s">
        <v>1146</v>
      </c>
      <c r="C225" s="55">
        <v>140</v>
      </c>
      <c r="D225" s="55">
        <v>63</v>
      </c>
      <c r="E225" s="28" t="s">
        <v>8</v>
      </c>
      <c r="F225" s="55"/>
      <c r="G225" s="29">
        <v>44652</v>
      </c>
      <c r="H225" s="30">
        <v>44926</v>
      </c>
    </row>
    <row r="226" spans="1:8" x14ac:dyDescent="0.2">
      <c r="A226" s="32">
        <v>430072</v>
      </c>
      <c r="B226" s="27" t="s">
        <v>1147</v>
      </c>
      <c r="C226" s="55">
        <v>140</v>
      </c>
      <c r="D226" s="55">
        <v>63</v>
      </c>
      <c r="E226" s="28" t="s">
        <v>8</v>
      </c>
      <c r="F226" s="55"/>
      <c r="G226" s="29">
        <v>44652</v>
      </c>
      <c r="H226" s="30">
        <v>44926</v>
      </c>
    </row>
    <row r="227" spans="1:8" x14ac:dyDescent="0.2">
      <c r="A227" s="32">
        <v>432015</v>
      </c>
      <c r="B227" s="27" t="s">
        <v>1150</v>
      </c>
      <c r="C227" s="55">
        <v>345</v>
      </c>
      <c r="D227" s="55">
        <v>155.25</v>
      </c>
      <c r="E227" s="28" t="s">
        <v>8</v>
      </c>
      <c r="F227" s="55"/>
      <c r="G227" s="29">
        <v>44652</v>
      </c>
      <c r="H227" s="30">
        <v>44926</v>
      </c>
    </row>
    <row r="228" spans="1:8" x14ac:dyDescent="0.2">
      <c r="A228" s="32">
        <v>432016</v>
      </c>
      <c r="B228" s="27" t="s">
        <v>160</v>
      </c>
      <c r="C228" s="55">
        <v>392</v>
      </c>
      <c r="D228" s="55">
        <v>176.4</v>
      </c>
      <c r="E228" s="28" t="s">
        <v>8</v>
      </c>
      <c r="F228" s="55"/>
      <c r="G228" s="29">
        <v>44652</v>
      </c>
      <c r="H228" s="30">
        <v>44926</v>
      </c>
    </row>
    <row r="229" spans="1:8" x14ac:dyDescent="0.2">
      <c r="A229" s="32">
        <v>432017</v>
      </c>
      <c r="B229" s="27" t="s">
        <v>1151</v>
      </c>
      <c r="C229" s="55">
        <v>345</v>
      </c>
      <c r="D229" s="55">
        <v>155.25</v>
      </c>
      <c r="E229" s="28" t="s">
        <v>8</v>
      </c>
      <c r="F229" s="55"/>
      <c r="G229" s="29">
        <v>44652</v>
      </c>
      <c r="H229" s="30">
        <v>44926</v>
      </c>
    </row>
    <row r="230" spans="1:8" x14ac:dyDescent="0.2">
      <c r="A230" s="32">
        <v>432018</v>
      </c>
      <c r="B230" s="27" t="s">
        <v>161</v>
      </c>
      <c r="C230" s="55">
        <v>392</v>
      </c>
      <c r="D230" s="55">
        <v>176.4</v>
      </c>
      <c r="E230" s="28" t="s">
        <v>8</v>
      </c>
      <c r="F230" s="55"/>
      <c r="G230" s="29">
        <v>44652</v>
      </c>
      <c r="H230" s="30">
        <v>44926</v>
      </c>
    </row>
    <row r="231" spans="1:8" x14ac:dyDescent="0.2">
      <c r="A231" s="32">
        <v>432022</v>
      </c>
      <c r="B231" s="27" t="s">
        <v>161</v>
      </c>
      <c r="C231" s="55">
        <v>465</v>
      </c>
      <c r="D231" s="55">
        <v>209.25</v>
      </c>
      <c r="E231" s="28" t="s">
        <v>8</v>
      </c>
      <c r="F231" s="55"/>
      <c r="G231" s="29">
        <v>44652</v>
      </c>
      <c r="H231" s="30">
        <v>44926</v>
      </c>
    </row>
    <row r="232" spans="1:8" x14ac:dyDescent="0.2">
      <c r="A232" s="32">
        <v>432025</v>
      </c>
      <c r="B232" s="27" t="s">
        <v>1133</v>
      </c>
      <c r="C232" s="55">
        <v>365</v>
      </c>
      <c r="D232" s="55">
        <v>164.25</v>
      </c>
      <c r="E232" s="28" t="s">
        <v>8</v>
      </c>
      <c r="F232" s="55"/>
      <c r="G232" s="29">
        <v>44652</v>
      </c>
      <c r="H232" s="30">
        <v>44926</v>
      </c>
    </row>
    <row r="233" spans="1:8" x14ac:dyDescent="0.2">
      <c r="A233" s="32">
        <v>432027</v>
      </c>
      <c r="B233" s="27" t="s">
        <v>1132</v>
      </c>
      <c r="C233" s="55">
        <v>285</v>
      </c>
      <c r="D233" s="55">
        <v>128.25</v>
      </c>
      <c r="E233" s="28" t="s">
        <v>8</v>
      </c>
      <c r="F233" s="55"/>
      <c r="G233" s="29">
        <v>44652</v>
      </c>
      <c r="H233" s="30">
        <v>44926</v>
      </c>
    </row>
    <row r="234" spans="1:8" x14ac:dyDescent="0.2">
      <c r="A234" s="32">
        <v>432073</v>
      </c>
      <c r="B234" s="27" t="s">
        <v>1136</v>
      </c>
      <c r="C234" s="55">
        <v>335</v>
      </c>
      <c r="D234" s="55">
        <v>150.75</v>
      </c>
      <c r="E234" s="28" t="s">
        <v>8</v>
      </c>
      <c r="F234" s="55"/>
      <c r="G234" s="29">
        <v>44652</v>
      </c>
      <c r="H234" s="30">
        <v>44926</v>
      </c>
    </row>
    <row r="235" spans="1:8" x14ac:dyDescent="0.2">
      <c r="A235" s="32">
        <v>432074</v>
      </c>
      <c r="B235" s="27" t="s">
        <v>1137</v>
      </c>
      <c r="C235" s="55">
        <v>335</v>
      </c>
      <c r="D235" s="55">
        <v>150.75</v>
      </c>
      <c r="E235" s="28" t="s">
        <v>8</v>
      </c>
      <c r="F235" s="55"/>
      <c r="G235" s="29">
        <v>44652</v>
      </c>
      <c r="H235" s="30">
        <v>44926</v>
      </c>
    </row>
    <row r="236" spans="1:8" x14ac:dyDescent="0.2">
      <c r="A236" s="32">
        <v>435005</v>
      </c>
      <c r="B236" s="27" t="s">
        <v>1129</v>
      </c>
      <c r="C236" s="55">
        <v>509</v>
      </c>
      <c r="D236" s="55">
        <v>229.05</v>
      </c>
      <c r="E236" s="28" t="s">
        <v>8</v>
      </c>
      <c r="F236" s="55"/>
      <c r="G236" s="29">
        <v>44652</v>
      </c>
      <c r="H236" s="30">
        <v>44926</v>
      </c>
    </row>
    <row r="237" spans="1:8" x14ac:dyDescent="0.2">
      <c r="A237" s="32">
        <v>435006</v>
      </c>
      <c r="B237" s="27" t="s">
        <v>1128</v>
      </c>
      <c r="C237" s="55">
        <v>509.68</v>
      </c>
      <c r="D237" s="55">
        <v>229.35599999999999</v>
      </c>
      <c r="E237" s="28" t="s">
        <v>8</v>
      </c>
      <c r="F237" s="55"/>
      <c r="G237" s="29">
        <v>44652</v>
      </c>
      <c r="H237" s="30">
        <v>44926</v>
      </c>
    </row>
    <row r="238" spans="1:8" x14ac:dyDescent="0.2">
      <c r="A238" s="32">
        <v>435009</v>
      </c>
      <c r="B238" s="27" t="s">
        <v>1160</v>
      </c>
      <c r="C238" s="55">
        <v>862.23900000000003</v>
      </c>
      <c r="D238" s="55">
        <v>388.00755000000004</v>
      </c>
      <c r="E238" s="28" t="s">
        <v>8</v>
      </c>
      <c r="F238" s="55"/>
      <c r="G238" s="29">
        <v>44652</v>
      </c>
      <c r="H238" s="30">
        <v>44926</v>
      </c>
    </row>
    <row r="239" spans="1:8" x14ac:dyDescent="0.2">
      <c r="A239" s="32">
        <v>435010</v>
      </c>
      <c r="B239" s="27" t="s">
        <v>1159</v>
      </c>
      <c r="C239" s="55">
        <v>859.39350000000002</v>
      </c>
      <c r="D239" s="55">
        <v>386.72707500000001</v>
      </c>
      <c r="E239" s="28" t="s">
        <v>8</v>
      </c>
      <c r="F239" s="55"/>
      <c r="G239" s="29">
        <v>44652</v>
      </c>
      <c r="H239" s="30">
        <v>44926</v>
      </c>
    </row>
    <row r="240" spans="1:8" x14ac:dyDescent="0.2">
      <c r="A240" s="32">
        <v>450028</v>
      </c>
      <c r="B240" s="27" t="s">
        <v>162</v>
      </c>
      <c r="C240" s="55">
        <v>36.42</v>
      </c>
      <c r="D240" s="55">
        <v>16.389000000000003</v>
      </c>
      <c r="E240" s="28" t="s">
        <v>954</v>
      </c>
      <c r="F240" s="55">
        <v>15.241770000000004</v>
      </c>
      <c r="G240" s="29">
        <v>44652</v>
      </c>
      <c r="H240" s="30">
        <v>44926</v>
      </c>
    </row>
    <row r="241" spans="1:8" x14ac:dyDescent="0.2">
      <c r="A241" s="32">
        <v>450029</v>
      </c>
      <c r="B241" s="27" t="s">
        <v>1030</v>
      </c>
      <c r="C241" s="55">
        <v>38.130000000000003</v>
      </c>
      <c r="D241" s="55">
        <v>17.1585</v>
      </c>
      <c r="E241" s="28" t="s">
        <v>954</v>
      </c>
      <c r="F241" s="55">
        <v>15.957405000000001</v>
      </c>
      <c r="G241" s="29">
        <v>44652</v>
      </c>
      <c r="H241" s="30">
        <v>44926</v>
      </c>
    </row>
    <row r="242" spans="1:8" x14ac:dyDescent="0.2">
      <c r="A242" s="32">
        <v>450030</v>
      </c>
      <c r="B242" s="27" t="s">
        <v>163</v>
      </c>
      <c r="C242" s="55">
        <v>42.51</v>
      </c>
      <c r="D242" s="55">
        <v>19.1295</v>
      </c>
      <c r="E242" s="28" t="s">
        <v>954</v>
      </c>
      <c r="F242" s="55">
        <v>17.790435000000002</v>
      </c>
      <c r="G242" s="29">
        <v>44652</v>
      </c>
      <c r="H242" s="30">
        <v>44926</v>
      </c>
    </row>
    <row r="243" spans="1:8" x14ac:dyDescent="0.2">
      <c r="A243" s="32">
        <v>450032</v>
      </c>
      <c r="B243" s="27" t="s">
        <v>164</v>
      </c>
      <c r="C243" s="55">
        <v>31.73</v>
      </c>
      <c r="D243" s="55">
        <v>14.278500000000001</v>
      </c>
      <c r="E243" s="28" t="s">
        <v>954</v>
      </c>
      <c r="F243" s="55">
        <v>13.279005000000002</v>
      </c>
      <c r="G243" s="29">
        <v>44652</v>
      </c>
      <c r="H243" s="30">
        <v>44926</v>
      </c>
    </row>
    <row r="244" spans="1:8" x14ac:dyDescent="0.2">
      <c r="A244" s="32">
        <v>450033</v>
      </c>
      <c r="B244" s="27" t="s">
        <v>165</v>
      </c>
      <c r="C244" s="55">
        <v>43.13</v>
      </c>
      <c r="D244" s="55">
        <v>19.4085</v>
      </c>
      <c r="E244" s="28" t="s">
        <v>954</v>
      </c>
      <c r="F244" s="55">
        <v>18.049905000000003</v>
      </c>
      <c r="G244" s="29">
        <v>44652</v>
      </c>
      <c r="H244" s="30">
        <v>44926</v>
      </c>
    </row>
    <row r="245" spans="1:8" x14ac:dyDescent="0.2">
      <c r="A245" s="32">
        <v>450034</v>
      </c>
      <c r="B245" s="27" t="s">
        <v>166</v>
      </c>
      <c r="C245" s="55">
        <v>20.63</v>
      </c>
      <c r="D245" s="55">
        <v>9.2835000000000001</v>
      </c>
      <c r="E245" s="28" t="s">
        <v>954</v>
      </c>
      <c r="F245" s="55">
        <v>8.633655000000001</v>
      </c>
      <c r="G245" s="29">
        <v>44652</v>
      </c>
      <c r="H245" s="30">
        <v>44926</v>
      </c>
    </row>
    <row r="246" spans="1:8" x14ac:dyDescent="0.2">
      <c r="A246" s="32">
        <v>450037</v>
      </c>
      <c r="B246" s="27" t="s">
        <v>1079</v>
      </c>
      <c r="C246" s="55">
        <v>208.24650000000003</v>
      </c>
      <c r="D246" s="55">
        <v>93.710925000000017</v>
      </c>
      <c r="E246" s="28" t="s">
        <v>8</v>
      </c>
      <c r="F246" s="55"/>
      <c r="G246" s="29">
        <v>44652</v>
      </c>
      <c r="H246" s="30">
        <v>44926</v>
      </c>
    </row>
    <row r="247" spans="1:8" x14ac:dyDescent="0.2">
      <c r="A247" s="32">
        <v>450042</v>
      </c>
      <c r="B247" s="27" t="s">
        <v>167</v>
      </c>
      <c r="C247" s="55">
        <v>58.98</v>
      </c>
      <c r="D247" s="55">
        <v>26.541</v>
      </c>
      <c r="E247" s="28" t="s">
        <v>954</v>
      </c>
      <c r="F247" s="55">
        <v>24.683130000000002</v>
      </c>
      <c r="G247" s="29">
        <v>44652</v>
      </c>
      <c r="H247" s="30">
        <v>44926</v>
      </c>
    </row>
    <row r="248" spans="1:8" x14ac:dyDescent="0.2">
      <c r="A248" s="32">
        <v>450043</v>
      </c>
      <c r="B248" s="27" t="s">
        <v>1026</v>
      </c>
      <c r="C248" s="55">
        <v>64.02</v>
      </c>
      <c r="D248" s="55">
        <v>28.808999999999997</v>
      </c>
      <c r="E248" s="28" t="s">
        <v>954</v>
      </c>
      <c r="F248" s="55">
        <v>26.792369999999998</v>
      </c>
      <c r="G248" s="29">
        <v>44652</v>
      </c>
      <c r="H248" s="30">
        <v>44926</v>
      </c>
    </row>
    <row r="249" spans="1:8" x14ac:dyDescent="0.2">
      <c r="A249" s="32">
        <v>450044</v>
      </c>
      <c r="B249" s="27" t="s">
        <v>1025</v>
      </c>
      <c r="C249" s="55">
        <v>34.56</v>
      </c>
      <c r="D249" s="55">
        <v>15.552000000000001</v>
      </c>
      <c r="E249" s="28" t="s">
        <v>954</v>
      </c>
      <c r="F249" s="55">
        <v>14.463360000000002</v>
      </c>
      <c r="G249" s="29">
        <v>44652</v>
      </c>
      <c r="H249" s="30">
        <v>44926</v>
      </c>
    </row>
    <row r="250" spans="1:8" x14ac:dyDescent="0.2">
      <c r="A250" s="32">
        <v>450045</v>
      </c>
      <c r="B250" s="27" t="s">
        <v>168</v>
      </c>
      <c r="C250" s="55">
        <v>68.25</v>
      </c>
      <c r="D250" s="55">
        <v>30.712500000000002</v>
      </c>
      <c r="E250" s="28" t="s">
        <v>954</v>
      </c>
      <c r="F250" s="55">
        <v>28.562625000000004</v>
      </c>
      <c r="G250" s="29">
        <v>44652</v>
      </c>
      <c r="H250" s="30">
        <v>44926</v>
      </c>
    </row>
    <row r="251" spans="1:8" x14ac:dyDescent="0.2">
      <c r="A251" s="32">
        <v>450047</v>
      </c>
      <c r="B251" s="27" t="s">
        <v>1028</v>
      </c>
      <c r="C251" s="55">
        <v>54.23</v>
      </c>
      <c r="D251" s="55">
        <v>24.403499999999998</v>
      </c>
      <c r="E251" s="28" t="s">
        <v>954</v>
      </c>
      <c r="F251" s="55">
        <v>22.695255</v>
      </c>
      <c r="G251" s="29">
        <v>44652</v>
      </c>
      <c r="H251" s="30">
        <v>44926</v>
      </c>
    </row>
    <row r="252" spans="1:8" x14ac:dyDescent="0.2">
      <c r="A252" s="32">
        <v>450052</v>
      </c>
      <c r="B252" s="27" t="s">
        <v>1023</v>
      </c>
      <c r="C252" s="55">
        <v>40.614000000000004</v>
      </c>
      <c r="D252" s="55">
        <v>18.276300000000003</v>
      </c>
      <c r="E252" s="28"/>
      <c r="F252" s="55">
        <v>16.996959000000004</v>
      </c>
      <c r="G252" s="29">
        <v>44652</v>
      </c>
      <c r="H252" s="30">
        <v>44926</v>
      </c>
    </row>
    <row r="253" spans="1:8" x14ac:dyDescent="0.2">
      <c r="A253" s="32">
        <v>450053</v>
      </c>
      <c r="B253" s="27" t="s">
        <v>1034</v>
      </c>
      <c r="C253" s="55">
        <v>40.614000000000004</v>
      </c>
      <c r="D253" s="55">
        <v>18.276300000000003</v>
      </c>
      <c r="E253" s="28" t="s">
        <v>954</v>
      </c>
      <c r="F253" s="55">
        <v>16.996959000000004</v>
      </c>
      <c r="G253" s="29">
        <v>44652</v>
      </c>
      <c r="H253" s="30">
        <v>44926</v>
      </c>
    </row>
    <row r="254" spans="1:8" x14ac:dyDescent="0.2">
      <c r="A254" s="32">
        <v>450055</v>
      </c>
      <c r="B254" s="27" t="s">
        <v>1031</v>
      </c>
      <c r="C254" s="55">
        <v>43.07</v>
      </c>
      <c r="D254" s="55">
        <v>19.381499999999999</v>
      </c>
      <c r="E254" s="28" t="s">
        <v>954</v>
      </c>
      <c r="F254" s="55">
        <v>18.024795000000001</v>
      </c>
      <c r="G254" s="29">
        <v>44652</v>
      </c>
      <c r="H254" s="30">
        <v>44926</v>
      </c>
    </row>
    <row r="255" spans="1:8" x14ac:dyDescent="0.2">
      <c r="A255" s="32">
        <v>450057</v>
      </c>
      <c r="B255" s="27" t="s">
        <v>169</v>
      </c>
      <c r="C255" s="55">
        <v>42.26</v>
      </c>
      <c r="D255" s="55">
        <v>19.016999999999999</v>
      </c>
      <c r="E255" s="28" t="s">
        <v>954</v>
      </c>
      <c r="F255" s="55">
        <v>17.68581</v>
      </c>
      <c r="G255" s="29">
        <v>44652</v>
      </c>
      <c r="H255" s="30">
        <v>44926</v>
      </c>
    </row>
    <row r="256" spans="1:8" x14ac:dyDescent="0.2">
      <c r="A256" s="32">
        <v>450061</v>
      </c>
      <c r="B256" s="27" t="s">
        <v>170</v>
      </c>
      <c r="C256" s="55">
        <v>71.319999999999993</v>
      </c>
      <c r="D256" s="55">
        <v>32.094000000000001</v>
      </c>
      <c r="E256" s="28" t="s">
        <v>954</v>
      </c>
      <c r="F256" s="55">
        <v>29.847420000000003</v>
      </c>
      <c r="G256" s="29">
        <v>44652</v>
      </c>
      <c r="H256" s="30">
        <v>44926</v>
      </c>
    </row>
    <row r="257" spans="1:8" x14ac:dyDescent="0.2">
      <c r="A257" s="32">
        <v>450063</v>
      </c>
      <c r="B257" s="27" t="s">
        <v>1033</v>
      </c>
      <c r="C257" s="55">
        <v>58</v>
      </c>
      <c r="D257" s="55">
        <v>26.1</v>
      </c>
      <c r="E257" s="28" t="s">
        <v>954</v>
      </c>
      <c r="F257" s="55">
        <v>24.273000000000003</v>
      </c>
      <c r="G257" s="29">
        <v>44652</v>
      </c>
      <c r="H257" s="30">
        <v>44926</v>
      </c>
    </row>
    <row r="258" spans="1:8" x14ac:dyDescent="0.2">
      <c r="A258" s="32">
        <v>450067</v>
      </c>
      <c r="B258" s="27" t="s">
        <v>1029</v>
      </c>
      <c r="C258" s="55">
        <v>61.22</v>
      </c>
      <c r="D258" s="55">
        <v>27.548999999999999</v>
      </c>
      <c r="E258" s="28" t="s">
        <v>954</v>
      </c>
      <c r="F258" s="55">
        <v>25.620570000000001</v>
      </c>
      <c r="G258" s="29">
        <v>44652</v>
      </c>
      <c r="H258" s="30">
        <v>44926</v>
      </c>
    </row>
    <row r="259" spans="1:8" x14ac:dyDescent="0.2">
      <c r="A259" s="32">
        <v>450081</v>
      </c>
      <c r="B259" s="27" t="s">
        <v>1024</v>
      </c>
      <c r="C259" s="55">
        <v>75.48</v>
      </c>
      <c r="D259" s="55">
        <v>33.966000000000001</v>
      </c>
      <c r="E259" s="28" t="s">
        <v>8</v>
      </c>
      <c r="F259" s="55"/>
      <c r="G259" s="29">
        <v>44652</v>
      </c>
      <c r="H259" s="30">
        <v>44926</v>
      </c>
    </row>
    <row r="260" spans="1:8" x14ac:dyDescent="0.2">
      <c r="A260" s="32">
        <v>450095</v>
      </c>
      <c r="B260" s="27" t="s">
        <v>1021</v>
      </c>
      <c r="C260" s="55">
        <v>33.69</v>
      </c>
      <c r="D260" s="55">
        <v>15.160499999999999</v>
      </c>
      <c r="E260" s="28" t="s">
        <v>954</v>
      </c>
      <c r="F260" s="55">
        <v>14.099264999999999</v>
      </c>
      <c r="G260" s="29">
        <v>44652</v>
      </c>
      <c r="H260" s="30">
        <v>44926</v>
      </c>
    </row>
    <row r="261" spans="1:8" x14ac:dyDescent="0.2">
      <c r="A261" s="32">
        <v>450099</v>
      </c>
      <c r="B261" s="27" t="s">
        <v>117</v>
      </c>
      <c r="C261" s="55">
        <v>48.36</v>
      </c>
      <c r="D261" s="55">
        <v>21.762</v>
      </c>
      <c r="E261" s="28" t="s">
        <v>954</v>
      </c>
      <c r="F261" s="55">
        <v>20.238660000000003</v>
      </c>
      <c r="G261" s="29">
        <v>44652</v>
      </c>
      <c r="H261" s="30">
        <v>44926</v>
      </c>
    </row>
    <row r="262" spans="1:8" x14ac:dyDescent="0.2">
      <c r="A262" s="32">
        <v>450102</v>
      </c>
      <c r="B262" s="27" t="s">
        <v>1032</v>
      </c>
      <c r="C262" s="55">
        <v>47</v>
      </c>
      <c r="D262" s="55">
        <v>21.150000000000002</v>
      </c>
      <c r="E262" s="28" t="s">
        <v>954</v>
      </c>
      <c r="F262" s="55">
        <v>19.669500000000003</v>
      </c>
      <c r="G262" s="29">
        <v>44652</v>
      </c>
      <c r="H262" s="30">
        <v>44926</v>
      </c>
    </row>
    <row r="263" spans="1:8" x14ac:dyDescent="0.2">
      <c r="A263" s="32">
        <v>450167</v>
      </c>
      <c r="B263" s="27" t="s">
        <v>1027</v>
      </c>
      <c r="C263" s="55">
        <v>64.64</v>
      </c>
      <c r="D263" s="55">
        <v>29.088000000000001</v>
      </c>
      <c r="E263" s="28" t="s">
        <v>954</v>
      </c>
      <c r="F263" s="55">
        <v>27.051840000000002</v>
      </c>
      <c r="G263" s="29">
        <v>44652</v>
      </c>
      <c r="H263" s="30">
        <v>44926</v>
      </c>
    </row>
    <row r="264" spans="1:8" x14ac:dyDescent="0.2">
      <c r="A264" s="32">
        <v>450533</v>
      </c>
      <c r="B264" s="27" t="s">
        <v>119</v>
      </c>
      <c r="C264" s="55">
        <v>237</v>
      </c>
      <c r="D264" s="55">
        <v>106.65</v>
      </c>
      <c r="E264" s="28" t="s">
        <v>8</v>
      </c>
      <c r="F264" s="55"/>
      <c r="G264" s="29">
        <v>44652</v>
      </c>
      <c r="H264" s="30">
        <v>44926</v>
      </c>
    </row>
    <row r="265" spans="1:8" x14ac:dyDescent="0.2">
      <c r="A265" s="32">
        <v>452025</v>
      </c>
      <c r="B265" s="27" t="s">
        <v>171</v>
      </c>
      <c r="C265" s="55">
        <v>114.5865</v>
      </c>
      <c r="D265" s="55">
        <v>51.563925000000005</v>
      </c>
      <c r="E265" s="28" t="s">
        <v>954</v>
      </c>
      <c r="F265" s="55">
        <v>47.954450250000008</v>
      </c>
      <c r="G265" s="29">
        <v>44652</v>
      </c>
      <c r="H265" s="30">
        <v>44926</v>
      </c>
    </row>
    <row r="266" spans="1:8" x14ac:dyDescent="0.2">
      <c r="A266" s="32">
        <v>452028</v>
      </c>
      <c r="B266" s="27" t="s">
        <v>172</v>
      </c>
      <c r="C266" s="55">
        <v>84.703500000000005</v>
      </c>
      <c r="D266" s="55">
        <v>38.116575000000005</v>
      </c>
      <c r="E266" s="28" t="s">
        <v>954</v>
      </c>
      <c r="F266" s="55">
        <v>35.448414750000005</v>
      </c>
      <c r="G266" s="29">
        <v>44652</v>
      </c>
      <c r="H266" s="30">
        <v>44926</v>
      </c>
    </row>
    <row r="267" spans="1:8" x14ac:dyDescent="0.2">
      <c r="A267" s="32">
        <v>452029</v>
      </c>
      <c r="B267" s="27" t="s">
        <v>173</v>
      </c>
      <c r="C267" s="55">
        <v>91.25</v>
      </c>
      <c r="D267" s="55">
        <v>41.0625</v>
      </c>
      <c r="E267" s="28" t="s">
        <v>954</v>
      </c>
      <c r="F267" s="55">
        <v>38.188124999999999</v>
      </c>
      <c r="G267" s="29">
        <v>44652</v>
      </c>
      <c r="H267" s="30">
        <v>44926</v>
      </c>
    </row>
    <row r="268" spans="1:8" x14ac:dyDescent="0.2">
      <c r="A268" s="32">
        <v>452032</v>
      </c>
      <c r="B268" s="27" t="s">
        <v>174</v>
      </c>
      <c r="C268" s="55">
        <v>131.4075</v>
      </c>
      <c r="D268" s="55">
        <v>59.133375000000001</v>
      </c>
      <c r="E268" s="28" t="s">
        <v>954</v>
      </c>
      <c r="F268" s="55">
        <v>54.994038750000001</v>
      </c>
      <c r="G268" s="29">
        <v>44652</v>
      </c>
      <c r="H268" s="30">
        <v>44926</v>
      </c>
    </row>
    <row r="269" spans="1:8" x14ac:dyDescent="0.2">
      <c r="A269" s="32">
        <v>452042</v>
      </c>
      <c r="B269" s="27" t="s">
        <v>175</v>
      </c>
      <c r="C269" s="55">
        <v>107.8</v>
      </c>
      <c r="D269" s="55">
        <v>48.51</v>
      </c>
      <c r="E269" s="28" t="s">
        <v>954</v>
      </c>
      <c r="F269" s="55">
        <v>45.1143</v>
      </c>
      <c r="G269" s="29">
        <v>44652</v>
      </c>
      <c r="H269" s="30">
        <v>44926</v>
      </c>
    </row>
    <row r="270" spans="1:8" x14ac:dyDescent="0.2">
      <c r="A270" s="32">
        <v>452045</v>
      </c>
      <c r="B270" s="27" t="s">
        <v>176</v>
      </c>
      <c r="C270" s="55">
        <v>118.5</v>
      </c>
      <c r="D270" s="55">
        <v>53.325000000000003</v>
      </c>
      <c r="E270" s="28" t="s">
        <v>954</v>
      </c>
      <c r="F270" s="55">
        <v>49.592250000000007</v>
      </c>
      <c r="G270" s="29">
        <v>44652</v>
      </c>
      <c r="H270" s="30">
        <v>44926</v>
      </c>
    </row>
    <row r="271" spans="1:8" x14ac:dyDescent="0.2">
      <c r="A271" s="32">
        <v>452047</v>
      </c>
      <c r="B271" s="27" t="s">
        <v>1331</v>
      </c>
      <c r="C271" s="55">
        <v>107.5</v>
      </c>
      <c r="D271" s="55">
        <v>48.375</v>
      </c>
      <c r="E271" s="28" t="s">
        <v>954</v>
      </c>
      <c r="F271" s="55">
        <v>44.988750000000003</v>
      </c>
      <c r="G271" s="29">
        <v>44652</v>
      </c>
      <c r="H271" s="30">
        <v>44926</v>
      </c>
    </row>
    <row r="272" spans="1:8" x14ac:dyDescent="0.2">
      <c r="A272" s="32">
        <v>452054</v>
      </c>
      <c r="B272" s="27" t="s">
        <v>177</v>
      </c>
      <c r="C272" s="55">
        <v>96.201000000000008</v>
      </c>
      <c r="D272" s="55">
        <v>43.290450000000007</v>
      </c>
      <c r="E272" s="28" t="s">
        <v>954</v>
      </c>
      <c r="F272" s="55">
        <v>40.260118500000011</v>
      </c>
      <c r="G272" s="29">
        <v>44652</v>
      </c>
      <c r="H272" s="30">
        <v>44926</v>
      </c>
    </row>
    <row r="273" spans="1:8" x14ac:dyDescent="0.2">
      <c r="A273" s="32">
        <v>452055</v>
      </c>
      <c r="B273" s="27" t="s">
        <v>177</v>
      </c>
      <c r="C273" s="55">
        <v>98.33250000000001</v>
      </c>
      <c r="D273" s="55">
        <v>44.249625000000009</v>
      </c>
      <c r="E273" s="28" t="s">
        <v>954</v>
      </c>
      <c r="F273" s="55">
        <v>41.15215125000001</v>
      </c>
      <c r="G273" s="29">
        <v>44652</v>
      </c>
      <c r="H273" s="30">
        <v>44926</v>
      </c>
    </row>
    <row r="274" spans="1:8" x14ac:dyDescent="0.2">
      <c r="A274" s="32">
        <v>452057</v>
      </c>
      <c r="B274" s="27" t="s">
        <v>178</v>
      </c>
      <c r="C274" s="55">
        <v>141.393</v>
      </c>
      <c r="D274" s="55">
        <v>63.626850000000005</v>
      </c>
      <c r="E274" s="28" t="s">
        <v>954</v>
      </c>
      <c r="F274" s="55">
        <v>59.172970500000005</v>
      </c>
      <c r="G274" s="29">
        <v>44652</v>
      </c>
      <c r="H274" s="30">
        <v>44926</v>
      </c>
    </row>
    <row r="275" spans="1:8" x14ac:dyDescent="0.2">
      <c r="A275" s="32">
        <v>452067</v>
      </c>
      <c r="B275" s="27" t="s">
        <v>179</v>
      </c>
      <c r="C275" s="55">
        <v>167.74799999999999</v>
      </c>
      <c r="D275" s="55">
        <v>75.486599999999996</v>
      </c>
      <c r="E275" s="28" t="s">
        <v>954</v>
      </c>
      <c r="F275" s="55">
        <v>70.202538000000004</v>
      </c>
      <c r="G275" s="29">
        <v>44652</v>
      </c>
      <c r="H275" s="30">
        <v>44926</v>
      </c>
    </row>
    <row r="276" spans="1:8" x14ac:dyDescent="0.2">
      <c r="A276" s="32">
        <v>452072</v>
      </c>
      <c r="B276" s="27" t="s">
        <v>1326</v>
      </c>
      <c r="C276" s="55">
        <v>125</v>
      </c>
      <c r="D276" s="55">
        <v>56.25</v>
      </c>
      <c r="E276" s="28" t="s">
        <v>8</v>
      </c>
      <c r="F276" s="55"/>
      <c r="G276" s="29">
        <v>44652</v>
      </c>
      <c r="H276" s="30">
        <v>44926</v>
      </c>
    </row>
    <row r="277" spans="1:8" x14ac:dyDescent="0.2">
      <c r="A277" s="32">
        <v>452073</v>
      </c>
      <c r="B277" s="27" t="s">
        <v>1324</v>
      </c>
      <c r="C277" s="55">
        <v>138</v>
      </c>
      <c r="D277" s="55">
        <v>62.1</v>
      </c>
      <c r="E277" s="28" t="s">
        <v>8</v>
      </c>
      <c r="F277" s="55"/>
      <c r="G277" s="29">
        <v>44652</v>
      </c>
      <c r="H277" s="30">
        <v>44926</v>
      </c>
    </row>
    <row r="278" spans="1:8" x14ac:dyDescent="0.2">
      <c r="A278" s="32">
        <v>452074</v>
      </c>
      <c r="B278" s="27" t="s">
        <v>1327</v>
      </c>
      <c r="C278" s="55">
        <v>137</v>
      </c>
      <c r="D278" s="55">
        <v>61.65</v>
      </c>
      <c r="E278" s="28" t="s">
        <v>8</v>
      </c>
      <c r="F278" s="55"/>
      <c r="G278" s="29">
        <v>44652</v>
      </c>
      <c r="H278" s="30">
        <v>44926</v>
      </c>
    </row>
    <row r="279" spans="1:8" x14ac:dyDescent="0.2">
      <c r="A279" s="32">
        <v>452075</v>
      </c>
      <c r="B279" s="27" t="s">
        <v>1323</v>
      </c>
      <c r="C279" s="55">
        <v>129</v>
      </c>
      <c r="D279" s="55">
        <v>58.050000000000004</v>
      </c>
      <c r="E279" s="28" t="s">
        <v>8</v>
      </c>
      <c r="F279" s="55"/>
      <c r="G279" s="29">
        <v>44652</v>
      </c>
      <c r="H279" s="30">
        <v>44926</v>
      </c>
    </row>
    <row r="280" spans="1:8" x14ac:dyDescent="0.2">
      <c r="A280" s="32">
        <v>452082</v>
      </c>
      <c r="B280" s="27" t="s">
        <v>180</v>
      </c>
      <c r="C280" s="55">
        <v>132</v>
      </c>
      <c r="D280" s="55">
        <v>59.4</v>
      </c>
      <c r="E280" s="28" t="s">
        <v>8</v>
      </c>
      <c r="F280" s="55"/>
      <c r="G280" s="29">
        <v>44652</v>
      </c>
      <c r="H280" s="30">
        <v>44926</v>
      </c>
    </row>
    <row r="281" spans="1:8" x14ac:dyDescent="0.2">
      <c r="A281" s="32">
        <v>452083</v>
      </c>
      <c r="B281" s="27" t="s">
        <v>181</v>
      </c>
      <c r="C281" s="55">
        <v>132</v>
      </c>
      <c r="D281" s="55">
        <v>59.4</v>
      </c>
      <c r="E281" s="28" t="s">
        <v>8</v>
      </c>
      <c r="F281" s="55"/>
      <c r="G281" s="29">
        <v>44652</v>
      </c>
      <c r="H281" s="30">
        <v>44926</v>
      </c>
    </row>
    <row r="282" spans="1:8" x14ac:dyDescent="0.2">
      <c r="A282" s="32">
        <v>452084</v>
      </c>
      <c r="B282" s="27" t="s">
        <v>182</v>
      </c>
      <c r="C282" s="55">
        <v>130</v>
      </c>
      <c r="D282" s="55">
        <v>58.5</v>
      </c>
      <c r="E282" s="28" t="s">
        <v>8</v>
      </c>
      <c r="F282" s="55"/>
      <c r="G282" s="29">
        <v>44652</v>
      </c>
      <c r="H282" s="30">
        <v>44926</v>
      </c>
    </row>
    <row r="283" spans="1:8" x14ac:dyDescent="0.2">
      <c r="A283" s="32">
        <v>452085</v>
      </c>
      <c r="B283" s="27" t="s">
        <v>183</v>
      </c>
      <c r="C283" s="55">
        <v>133</v>
      </c>
      <c r="D283" s="55">
        <v>59.85</v>
      </c>
      <c r="E283" s="28" t="s">
        <v>8</v>
      </c>
      <c r="F283" s="55"/>
      <c r="G283" s="29">
        <v>44652</v>
      </c>
      <c r="H283" s="30">
        <v>44926</v>
      </c>
    </row>
    <row r="284" spans="1:8" x14ac:dyDescent="0.2">
      <c r="A284" s="32">
        <v>452086</v>
      </c>
      <c r="B284" s="27" t="s">
        <v>1328</v>
      </c>
      <c r="C284" s="55">
        <v>126</v>
      </c>
      <c r="D284" s="55">
        <v>56.7</v>
      </c>
      <c r="E284" s="28" t="s">
        <v>8</v>
      </c>
      <c r="F284" s="55"/>
      <c r="G284" s="29">
        <v>44652</v>
      </c>
      <c r="H284" s="30">
        <v>44926</v>
      </c>
    </row>
    <row r="285" spans="1:8" x14ac:dyDescent="0.2">
      <c r="A285" s="32">
        <v>452087</v>
      </c>
      <c r="B285" s="27" t="s">
        <v>1325</v>
      </c>
      <c r="C285" s="55">
        <v>131</v>
      </c>
      <c r="D285" s="55">
        <v>58.95</v>
      </c>
      <c r="E285" s="28" t="s">
        <v>8</v>
      </c>
      <c r="F285" s="55"/>
      <c r="G285" s="29">
        <v>44652</v>
      </c>
      <c r="H285" s="30">
        <v>44926</v>
      </c>
    </row>
    <row r="286" spans="1:8" x14ac:dyDescent="0.2">
      <c r="A286" s="32">
        <v>452097</v>
      </c>
      <c r="B286" s="27" t="s">
        <v>184</v>
      </c>
      <c r="C286" s="55">
        <v>93.35</v>
      </c>
      <c r="D286" s="55">
        <v>42.0075</v>
      </c>
      <c r="E286" s="28" t="s">
        <v>954</v>
      </c>
      <c r="F286" s="55">
        <v>39.066974999999999</v>
      </c>
      <c r="G286" s="29">
        <v>44652</v>
      </c>
      <c r="H286" s="30">
        <v>44926</v>
      </c>
    </row>
    <row r="287" spans="1:8" x14ac:dyDescent="0.2">
      <c r="A287" s="32">
        <v>452140</v>
      </c>
      <c r="B287" s="27" t="s">
        <v>146</v>
      </c>
      <c r="C287" s="55">
        <v>165.60599999999999</v>
      </c>
      <c r="D287" s="55">
        <v>74.5227</v>
      </c>
      <c r="E287" s="28" t="s">
        <v>954</v>
      </c>
      <c r="F287" s="55">
        <v>69.306111000000001</v>
      </c>
      <c r="G287" s="29">
        <v>44652</v>
      </c>
      <c r="H287" s="30">
        <v>44926</v>
      </c>
    </row>
    <row r="288" spans="1:8" x14ac:dyDescent="0.2">
      <c r="A288" s="32">
        <v>452155</v>
      </c>
      <c r="B288" s="27" t="s">
        <v>1334</v>
      </c>
      <c r="C288" s="55">
        <v>106.47000000000001</v>
      </c>
      <c r="D288" s="55">
        <v>47.911500000000004</v>
      </c>
      <c r="E288" s="28" t="s">
        <v>954</v>
      </c>
      <c r="F288" s="55">
        <v>44.557695000000002</v>
      </c>
      <c r="G288" s="29">
        <v>44652</v>
      </c>
      <c r="H288" s="30">
        <v>44926</v>
      </c>
    </row>
    <row r="289" spans="1:8" x14ac:dyDescent="0.2">
      <c r="A289" s="32">
        <v>452182</v>
      </c>
      <c r="B289" s="27" t="s">
        <v>144</v>
      </c>
      <c r="C289" s="55">
        <v>136.27949999999998</v>
      </c>
      <c r="D289" s="55">
        <v>61.325774999999993</v>
      </c>
      <c r="E289" s="28" t="s">
        <v>8</v>
      </c>
      <c r="F289" s="55"/>
      <c r="G289" s="29">
        <v>44652</v>
      </c>
      <c r="H289" s="30">
        <v>44926</v>
      </c>
    </row>
    <row r="290" spans="1:8" x14ac:dyDescent="0.2">
      <c r="A290" s="32">
        <v>452183</v>
      </c>
      <c r="B290" s="27" t="s">
        <v>145</v>
      </c>
      <c r="C290" s="55">
        <v>136.17449999999999</v>
      </c>
      <c r="D290" s="55">
        <v>61.278525000000002</v>
      </c>
      <c r="E290" s="28" t="s">
        <v>8</v>
      </c>
      <c r="F290" s="55"/>
      <c r="G290" s="29">
        <v>44652</v>
      </c>
      <c r="H290" s="30">
        <v>44926</v>
      </c>
    </row>
    <row r="291" spans="1:8" x14ac:dyDescent="0.2">
      <c r="A291" s="32">
        <v>452186</v>
      </c>
      <c r="B291" s="27" t="s">
        <v>1329</v>
      </c>
      <c r="C291" s="55">
        <v>136.857</v>
      </c>
      <c r="D291" s="55">
        <v>61.585650000000001</v>
      </c>
      <c r="E291" s="28" t="s">
        <v>8</v>
      </c>
      <c r="F291" s="55"/>
      <c r="G291" s="29">
        <v>44652</v>
      </c>
      <c r="H291" s="30">
        <v>44926</v>
      </c>
    </row>
    <row r="292" spans="1:8" x14ac:dyDescent="0.2">
      <c r="A292" s="32">
        <v>452187</v>
      </c>
      <c r="B292" s="27" t="s">
        <v>1330</v>
      </c>
      <c r="C292" s="55">
        <v>136.75200000000001</v>
      </c>
      <c r="D292" s="55">
        <v>61.538400000000003</v>
      </c>
      <c r="E292" s="28" t="s">
        <v>8</v>
      </c>
      <c r="F292" s="55"/>
      <c r="G292" s="29">
        <v>44652</v>
      </c>
      <c r="H292" s="30">
        <v>44926</v>
      </c>
    </row>
    <row r="293" spans="1:8" x14ac:dyDescent="0.2">
      <c r="A293" s="32">
        <v>453028</v>
      </c>
      <c r="B293" s="27" t="s">
        <v>1333</v>
      </c>
      <c r="C293" s="55">
        <v>79.369500000000002</v>
      </c>
      <c r="D293" s="55">
        <v>35.716275000000003</v>
      </c>
      <c r="E293" s="28" t="s">
        <v>954</v>
      </c>
      <c r="F293" s="55">
        <v>33.216135750000007</v>
      </c>
      <c r="G293" s="29">
        <v>44652</v>
      </c>
      <c r="H293" s="30">
        <v>44926</v>
      </c>
    </row>
    <row r="294" spans="1:8" x14ac:dyDescent="0.2">
      <c r="A294" s="32">
        <v>453030</v>
      </c>
      <c r="B294" s="27" t="s">
        <v>1336</v>
      </c>
      <c r="C294" s="55">
        <v>138.90449999999998</v>
      </c>
      <c r="D294" s="55">
        <v>62.507024999999992</v>
      </c>
      <c r="E294" s="28" t="s">
        <v>954</v>
      </c>
      <c r="F294" s="55">
        <v>58.131533249999997</v>
      </c>
      <c r="G294" s="29">
        <v>44652</v>
      </c>
      <c r="H294" s="30">
        <v>44926</v>
      </c>
    </row>
    <row r="295" spans="1:8" x14ac:dyDescent="0.2">
      <c r="A295" s="32">
        <v>453043</v>
      </c>
      <c r="B295" s="27" t="s">
        <v>1335</v>
      </c>
      <c r="C295" s="55">
        <v>147.483</v>
      </c>
      <c r="D295" s="55">
        <v>66.367350000000002</v>
      </c>
      <c r="E295" s="28" t="s">
        <v>954</v>
      </c>
      <c r="F295" s="55">
        <v>61.721635500000005</v>
      </c>
      <c r="G295" s="29">
        <v>44652</v>
      </c>
      <c r="H295" s="30">
        <v>44926</v>
      </c>
    </row>
    <row r="296" spans="1:8" x14ac:dyDescent="0.2">
      <c r="A296" s="32">
        <v>453045</v>
      </c>
      <c r="B296" s="27" t="s">
        <v>1332</v>
      </c>
      <c r="C296" s="55">
        <v>106.25</v>
      </c>
      <c r="D296" s="55">
        <v>47.8125</v>
      </c>
      <c r="E296" s="28" t="s">
        <v>954</v>
      </c>
      <c r="F296" s="55">
        <v>44.465625000000003</v>
      </c>
      <c r="G296" s="29">
        <v>44652</v>
      </c>
      <c r="H296" s="30">
        <v>44926</v>
      </c>
    </row>
    <row r="297" spans="1:8" x14ac:dyDescent="0.2">
      <c r="A297" s="32">
        <v>453085</v>
      </c>
      <c r="B297" s="27" t="s">
        <v>185</v>
      </c>
      <c r="C297" s="55">
        <v>122</v>
      </c>
      <c r="D297" s="55">
        <v>54.9</v>
      </c>
      <c r="E297" s="28" t="s">
        <v>8</v>
      </c>
      <c r="F297" s="55"/>
      <c r="G297" s="29">
        <v>44652</v>
      </c>
      <c r="H297" s="30">
        <v>44926</v>
      </c>
    </row>
    <row r="298" spans="1:8" x14ac:dyDescent="0.2">
      <c r="A298" s="32">
        <v>455032</v>
      </c>
      <c r="B298" s="27" t="s">
        <v>186</v>
      </c>
      <c r="C298" s="55">
        <v>146.601</v>
      </c>
      <c r="D298" s="55">
        <v>65.97045</v>
      </c>
      <c r="E298" s="28" t="s">
        <v>954</v>
      </c>
      <c r="F298" s="55">
        <v>61.352518500000002</v>
      </c>
      <c r="G298" s="29">
        <v>44652</v>
      </c>
      <c r="H298" s="30">
        <v>44926</v>
      </c>
    </row>
    <row r="299" spans="1:8" x14ac:dyDescent="0.2">
      <c r="A299" s="32">
        <v>455067</v>
      </c>
      <c r="B299" s="27" t="s">
        <v>187</v>
      </c>
      <c r="C299" s="55">
        <v>165.58500000000001</v>
      </c>
      <c r="D299" s="55">
        <v>74.513249999999999</v>
      </c>
      <c r="E299" s="28" t="s">
        <v>954</v>
      </c>
      <c r="F299" s="55">
        <v>69.297322500000007</v>
      </c>
      <c r="G299" s="29">
        <v>44652</v>
      </c>
      <c r="H299" s="30">
        <v>44926</v>
      </c>
    </row>
    <row r="300" spans="1:8" x14ac:dyDescent="0.2">
      <c r="A300" s="32">
        <v>457001</v>
      </c>
      <c r="B300" s="27" t="s">
        <v>188</v>
      </c>
      <c r="C300" s="55">
        <v>119.994</v>
      </c>
      <c r="D300" s="55">
        <v>53.997300000000003</v>
      </c>
      <c r="E300" s="28" t="s">
        <v>954</v>
      </c>
      <c r="F300" s="55">
        <v>50.217489000000008</v>
      </c>
      <c r="G300" s="29">
        <v>44652</v>
      </c>
      <c r="H300" s="30">
        <v>44926</v>
      </c>
    </row>
    <row r="301" spans="1:8" x14ac:dyDescent="0.2">
      <c r="A301" s="32">
        <v>457002</v>
      </c>
      <c r="B301" s="27" t="s">
        <v>189</v>
      </c>
      <c r="C301" s="55">
        <v>118.7235</v>
      </c>
      <c r="D301" s="55">
        <v>53.425575000000002</v>
      </c>
      <c r="E301" s="28" t="s">
        <v>954</v>
      </c>
      <c r="F301" s="55">
        <v>49.685784750000003</v>
      </c>
      <c r="G301" s="29">
        <v>44652</v>
      </c>
      <c r="H301" s="30">
        <v>44926</v>
      </c>
    </row>
    <row r="302" spans="1:8" x14ac:dyDescent="0.2">
      <c r="A302" s="32">
        <v>457003</v>
      </c>
      <c r="B302" s="27" t="s">
        <v>190</v>
      </c>
      <c r="C302" s="55">
        <v>229.51950000000002</v>
      </c>
      <c r="D302" s="55">
        <v>103.28377500000001</v>
      </c>
      <c r="E302" s="28" t="s">
        <v>8</v>
      </c>
      <c r="F302" s="55"/>
      <c r="G302" s="29">
        <v>44652</v>
      </c>
      <c r="H302" s="30">
        <v>44926</v>
      </c>
    </row>
    <row r="303" spans="1:8" x14ac:dyDescent="0.2">
      <c r="A303" s="32">
        <v>457004</v>
      </c>
      <c r="B303" s="27" t="s">
        <v>191</v>
      </c>
      <c r="C303" s="55">
        <v>229.51950000000002</v>
      </c>
      <c r="D303" s="55">
        <v>103.28377500000001</v>
      </c>
      <c r="E303" s="28" t="s">
        <v>8</v>
      </c>
      <c r="F303" s="55"/>
      <c r="G303" s="29">
        <v>44652</v>
      </c>
      <c r="H303" s="30">
        <v>44926</v>
      </c>
    </row>
    <row r="304" spans="1:8" x14ac:dyDescent="0.2">
      <c r="A304" s="32">
        <v>457115</v>
      </c>
      <c r="B304" s="27" t="s">
        <v>151</v>
      </c>
      <c r="C304" s="55">
        <v>115.29</v>
      </c>
      <c r="D304" s="55">
        <v>51.880500000000005</v>
      </c>
      <c r="E304" s="28" t="s">
        <v>954</v>
      </c>
      <c r="F304" s="55">
        <v>48.248865000000009</v>
      </c>
      <c r="G304" s="29">
        <v>44652</v>
      </c>
      <c r="H304" s="30">
        <v>44926</v>
      </c>
    </row>
    <row r="305" spans="1:8" x14ac:dyDescent="0.2">
      <c r="A305" s="32">
        <v>470013</v>
      </c>
      <c r="B305" s="27" t="s">
        <v>192</v>
      </c>
      <c r="C305" s="55">
        <v>44.92</v>
      </c>
      <c r="D305" s="55">
        <v>20.214000000000002</v>
      </c>
      <c r="E305" s="28" t="s">
        <v>954</v>
      </c>
      <c r="F305" s="55">
        <v>18.799020000000002</v>
      </c>
      <c r="G305" s="29">
        <v>44652</v>
      </c>
      <c r="H305" s="30">
        <v>44926</v>
      </c>
    </row>
    <row r="306" spans="1:8" x14ac:dyDescent="0.2">
      <c r="A306" s="32">
        <v>470019</v>
      </c>
      <c r="B306" s="27" t="s">
        <v>1036</v>
      </c>
      <c r="C306" s="55">
        <v>36.99</v>
      </c>
      <c r="D306" s="55">
        <v>16.645500000000002</v>
      </c>
      <c r="E306" s="28" t="s">
        <v>954</v>
      </c>
      <c r="F306" s="55">
        <v>15.480315000000003</v>
      </c>
      <c r="G306" s="29">
        <v>44652</v>
      </c>
      <c r="H306" s="30">
        <v>44926</v>
      </c>
    </row>
    <row r="307" spans="1:8" x14ac:dyDescent="0.2">
      <c r="A307" s="32">
        <v>470020</v>
      </c>
      <c r="B307" s="27" t="s">
        <v>1035</v>
      </c>
      <c r="C307" s="55">
        <v>39.659999999999997</v>
      </c>
      <c r="D307" s="55">
        <v>17.846999999999998</v>
      </c>
      <c r="E307" s="28" t="s">
        <v>954</v>
      </c>
      <c r="F307" s="55">
        <v>16.597709999999999</v>
      </c>
      <c r="G307" s="29">
        <v>44652</v>
      </c>
      <c r="H307" s="30">
        <v>44926</v>
      </c>
    </row>
    <row r="308" spans="1:8" x14ac:dyDescent="0.2">
      <c r="A308" s="32">
        <v>470022</v>
      </c>
      <c r="B308" s="27" t="s">
        <v>193</v>
      </c>
      <c r="C308" s="55">
        <v>52.56</v>
      </c>
      <c r="D308" s="55">
        <v>23.652000000000001</v>
      </c>
      <c r="E308" s="28" t="s">
        <v>954</v>
      </c>
      <c r="F308" s="55">
        <v>21.996360000000003</v>
      </c>
      <c r="G308" s="29">
        <v>44652</v>
      </c>
      <c r="H308" s="30">
        <v>44926</v>
      </c>
    </row>
    <row r="309" spans="1:8" x14ac:dyDescent="0.2">
      <c r="A309" s="32">
        <v>470024</v>
      </c>
      <c r="B309" s="27" t="s">
        <v>1037</v>
      </c>
      <c r="C309" s="55">
        <v>33.18</v>
      </c>
      <c r="D309" s="55">
        <v>14.931000000000001</v>
      </c>
      <c r="E309" s="28" t="s">
        <v>954</v>
      </c>
      <c r="F309" s="55">
        <v>13.885830000000002</v>
      </c>
      <c r="G309" s="29">
        <v>44652</v>
      </c>
      <c r="H309" s="30">
        <v>44926</v>
      </c>
    </row>
    <row r="310" spans="1:8" x14ac:dyDescent="0.2">
      <c r="A310" s="32">
        <v>470025</v>
      </c>
      <c r="B310" s="27" t="s">
        <v>194</v>
      </c>
      <c r="C310" s="55">
        <v>45.95</v>
      </c>
      <c r="D310" s="55">
        <v>20.677500000000002</v>
      </c>
      <c r="E310" s="28" t="s">
        <v>954</v>
      </c>
      <c r="F310" s="55">
        <v>19.230075000000003</v>
      </c>
      <c r="G310" s="29">
        <v>44652</v>
      </c>
      <c r="H310" s="30">
        <v>44926</v>
      </c>
    </row>
    <row r="311" spans="1:8" x14ac:dyDescent="0.2">
      <c r="A311" s="32">
        <v>470026</v>
      </c>
      <c r="B311" s="27" t="s">
        <v>195</v>
      </c>
      <c r="C311" s="55">
        <v>19.53</v>
      </c>
      <c r="D311" s="55">
        <v>8.7885000000000009</v>
      </c>
      <c r="E311" s="28" t="s">
        <v>954</v>
      </c>
      <c r="F311" s="55">
        <v>8.1733050000000009</v>
      </c>
      <c r="G311" s="29">
        <v>44652</v>
      </c>
      <c r="H311" s="30">
        <v>44926</v>
      </c>
    </row>
    <row r="312" spans="1:8" x14ac:dyDescent="0.2">
      <c r="A312" s="32">
        <v>470028</v>
      </c>
      <c r="B312" s="27" t="s">
        <v>1081</v>
      </c>
      <c r="C312" s="55">
        <v>214.494</v>
      </c>
      <c r="D312" s="55">
        <v>96.522300000000001</v>
      </c>
      <c r="E312" s="28" t="s">
        <v>8</v>
      </c>
      <c r="F312" s="55"/>
      <c r="G312" s="29">
        <v>44652</v>
      </c>
      <c r="H312" s="30">
        <v>44926</v>
      </c>
    </row>
    <row r="313" spans="1:8" x14ac:dyDescent="0.2">
      <c r="A313" s="32">
        <v>470030</v>
      </c>
      <c r="B313" s="27" t="s">
        <v>1080</v>
      </c>
      <c r="C313" s="55">
        <v>214.494</v>
      </c>
      <c r="D313" s="55">
        <v>96.522300000000001</v>
      </c>
      <c r="E313" s="28" t="s">
        <v>8</v>
      </c>
      <c r="F313" s="55"/>
      <c r="G313" s="29">
        <v>44652</v>
      </c>
      <c r="H313" s="30">
        <v>44926</v>
      </c>
    </row>
    <row r="314" spans="1:8" x14ac:dyDescent="0.2">
      <c r="A314" s="32">
        <v>470033</v>
      </c>
      <c r="B314" s="27" t="s">
        <v>1078</v>
      </c>
      <c r="C314" s="55">
        <v>255</v>
      </c>
      <c r="D314" s="55">
        <v>114.75</v>
      </c>
      <c r="E314" s="28" t="s">
        <v>8</v>
      </c>
      <c r="F314" s="55"/>
      <c r="G314" s="29">
        <v>44652</v>
      </c>
      <c r="H314" s="30">
        <v>44926</v>
      </c>
    </row>
    <row r="315" spans="1:8" x14ac:dyDescent="0.2">
      <c r="A315" s="32">
        <v>470036</v>
      </c>
      <c r="B315" s="27" t="s">
        <v>196</v>
      </c>
      <c r="C315" s="55">
        <v>130.935</v>
      </c>
      <c r="D315" s="55">
        <v>58.920750000000005</v>
      </c>
      <c r="E315" s="28" t="s">
        <v>8</v>
      </c>
      <c r="F315" s="55"/>
      <c r="G315" s="29">
        <v>44652</v>
      </c>
      <c r="H315" s="30">
        <v>44926</v>
      </c>
    </row>
    <row r="316" spans="1:8" x14ac:dyDescent="0.2">
      <c r="A316" s="32">
        <v>470039</v>
      </c>
      <c r="B316" s="27" t="s">
        <v>1076</v>
      </c>
      <c r="C316" s="55">
        <v>198</v>
      </c>
      <c r="D316" s="55">
        <v>89.100000000000009</v>
      </c>
      <c r="E316" s="28" t="s">
        <v>8</v>
      </c>
      <c r="F316" s="55"/>
      <c r="G316" s="29">
        <v>44652</v>
      </c>
      <c r="H316" s="30">
        <v>44926</v>
      </c>
    </row>
    <row r="317" spans="1:8" x14ac:dyDescent="0.2">
      <c r="A317" s="32">
        <v>470041</v>
      </c>
      <c r="B317" s="27" t="s">
        <v>197</v>
      </c>
      <c r="C317" s="55">
        <v>29.77</v>
      </c>
      <c r="D317" s="55">
        <v>13.3965</v>
      </c>
      <c r="E317" s="28" t="s">
        <v>954</v>
      </c>
      <c r="F317" s="55">
        <v>12.458745</v>
      </c>
      <c r="G317" s="29">
        <v>44652</v>
      </c>
      <c r="H317" s="30">
        <v>44926</v>
      </c>
    </row>
    <row r="318" spans="1:8" x14ac:dyDescent="0.2">
      <c r="A318" s="32">
        <v>470042</v>
      </c>
      <c r="B318" s="27" t="s">
        <v>198</v>
      </c>
      <c r="C318" s="55">
        <v>57.24</v>
      </c>
      <c r="D318" s="55">
        <v>25.758000000000003</v>
      </c>
      <c r="E318" s="28" t="s">
        <v>954</v>
      </c>
      <c r="F318" s="55">
        <v>23.954940000000004</v>
      </c>
      <c r="G318" s="29">
        <v>44652</v>
      </c>
      <c r="H318" s="30">
        <v>44926</v>
      </c>
    </row>
    <row r="319" spans="1:8" x14ac:dyDescent="0.2">
      <c r="A319" s="32">
        <v>470043</v>
      </c>
      <c r="B319" s="27" t="s">
        <v>199</v>
      </c>
      <c r="C319" s="55">
        <v>48.25</v>
      </c>
      <c r="D319" s="55">
        <v>21.712500000000002</v>
      </c>
      <c r="E319" s="28" t="s">
        <v>954</v>
      </c>
      <c r="F319" s="55">
        <v>20.192625000000003</v>
      </c>
      <c r="G319" s="29">
        <v>44652</v>
      </c>
      <c r="H319" s="30">
        <v>44926</v>
      </c>
    </row>
    <row r="320" spans="1:8" x14ac:dyDescent="0.2">
      <c r="A320" s="32">
        <v>470046</v>
      </c>
      <c r="B320" s="27" t="s">
        <v>1038</v>
      </c>
      <c r="C320" s="55">
        <v>61.11</v>
      </c>
      <c r="D320" s="55">
        <v>27.499500000000001</v>
      </c>
      <c r="E320" s="28" t="s">
        <v>954</v>
      </c>
      <c r="F320" s="55">
        <v>25.574535000000001</v>
      </c>
      <c r="G320" s="29">
        <v>44652</v>
      </c>
      <c r="H320" s="30">
        <v>44926</v>
      </c>
    </row>
    <row r="321" spans="1:8" x14ac:dyDescent="0.2">
      <c r="A321" s="32">
        <v>470063</v>
      </c>
      <c r="B321" s="27" t="s">
        <v>200</v>
      </c>
      <c r="C321" s="55">
        <v>55.45</v>
      </c>
      <c r="D321" s="55">
        <v>24.952500000000001</v>
      </c>
      <c r="E321" s="28" t="s">
        <v>954</v>
      </c>
      <c r="F321" s="55">
        <v>23.205825000000001</v>
      </c>
      <c r="G321" s="29">
        <v>44652</v>
      </c>
      <c r="H321" s="30">
        <v>44926</v>
      </c>
    </row>
    <row r="322" spans="1:8" x14ac:dyDescent="0.2">
      <c r="A322" s="32">
        <v>470065</v>
      </c>
      <c r="B322" s="27" t="s">
        <v>1077</v>
      </c>
      <c r="C322" s="55">
        <v>275</v>
      </c>
      <c r="D322" s="55">
        <v>123.75</v>
      </c>
      <c r="E322" s="28" t="s">
        <v>8</v>
      </c>
      <c r="F322" s="55"/>
      <c r="G322" s="29">
        <v>44652</v>
      </c>
      <c r="H322" s="30">
        <v>44926</v>
      </c>
    </row>
    <row r="323" spans="1:8" x14ac:dyDescent="0.2">
      <c r="A323" s="32">
        <v>470313</v>
      </c>
      <c r="B323" s="27" t="s">
        <v>201</v>
      </c>
      <c r="C323" s="55">
        <v>141.5925</v>
      </c>
      <c r="D323" s="55">
        <v>63.716625000000001</v>
      </c>
      <c r="E323" s="28" t="s">
        <v>954</v>
      </c>
      <c r="F323" s="55">
        <v>59.256461250000001</v>
      </c>
      <c r="G323" s="29">
        <v>44652</v>
      </c>
      <c r="H323" s="30">
        <v>44926</v>
      </c>
    </row>
    <row r="324" spans="1:8" x14ac:dyDescent="0.2">
      <c r="A324" s="32">
        <v>470343</v>
      </c>
      <c r="B324" s="27" t="s">
        <v>202</v>
      </c>
      <c r="C324" s="55">
        <v>142.7475</v>
      </c>
      <c r="D324" s="55">
        <v>64.23637500000001</v>
      </c>
      <c r="E324" s="28" t="s">
        <v>954</v>
      </c>
      <c r="F324" s="55">
        <v>59.739828750000015</v>
      </c>
      <c r="G324" s="29">
        <v>44652</v>
      </c>
      <c r="H324" s="30">
        <v>44926</v>
      </c>
    </row>
    <row r="325" spans="1:8" x14ac:dyDescent="0.2">
      <c r="A325" s="32">
        <v>470525</v>
      </c>
      <c r="B325" s="27" t="s">
        <v>119</v>
      </c>
      <c r="C325" s="55">
        <v>235.46250000000001</v>
      </c>
      <c r="D325" s="55">
        <v>105.95812500000001</v>
      </c>
      <c r="E325" s="28" t="s">
        <v>8</v>
      </c>
      <c r="F325" s="55"/>
      <c r="G325" s="29">
        <v>44652</v>
      </c>
      <c r="H325" s="30">
        <v>44926</v>
      </c>
    </row>
    <row r="326" spans="1:8" x14ac:dyDescent="0.2">
      <c r="A326" s="32">
        <v>472017</v>
      </c>
      <c r="B326" s="27" t="s">
        <v>171</v>
      </c>
      <c r="C326" s="55">
        <v>110.67000000000002</v>
      </c>
      <c r="D326" s="55">
        <v>49.801500000000011</v>
      </c>
      <c r="E326" s="28" t="s">
        <v>954</v>
      </c>
      <c r="F326" s="55">
        <v>46.315395000000017</v>
      </c>
      <c r="G326" s="29">
        <v>44652</v>
      </c>
      <c r="H326" s="30">
        <v>44926</v>
      </c>
    </row>
    <row r="327" spans="1:8" x14ac:dyDescent="0.2">
      <c r="A327" s="32">
        <v>472019</v>
      </c>
      <c r="B327" s="27" t="s">
        <v>1337</v>
      </c>
      <c r="C327" s="55">
        <v>114.22950000000002</v>
      </c>
      <c r="D327" s="55">
        <v>51.403275000000008</v>
      </c>
      <c r="E327" s="28" t="s">
        <v>954</v>
      </c>
      <c r="F327" s="55">
        <v>47.805045750000012</v>
      </c>
      <c r="G327" s="29">
        <v>44652</v>
      </c>
      <c r="H327" s="30">
        <v>44926</v>
      </c>
    </row>
    <row r="328" spans="1:8" x14ac:dyDescent="0.2">
      <c r="A328" s="32">
        <v>472020</v>
      </c>
      <c r="B328" s="27" t="s">
        <v>203</v>
      </c>
      <c r="C328" s="55">
        <v>91</v>
      </c>
      <c r="D328" s="55">
        <v>40.950000000000003</v>
      </c>
      <c r="E328" s="28" t="s">
        <v>954</v>
      </c>
      <c r="F328" s="55">
        <v>38.083500000000008</v>
      </c>
      <c r="G328" s="29">
        <v>44652</v>
      </c>
      <c r="H328" s="30">
        <v>44926</v>
      </c>
    </row>
    <row r="329" spans="1:8" x14ac:dyDescent="0.2">
      <c r="A329" s="32">
        <v>473022</v>
      </c>
      <c r="B329" s="27" t="s">
        <v>204</v>
      </c>
      <c r="C329" s="55">
        <v>136.60499999999999</v>
      </c>
      <c r="D329" s="55">
        <v>61.472249999999995</v>
      </c>
      <c r="E329" s="28" t="s">
        <v>954</v>
      </c>
      <c r="F329" s="55">
        <v>57.169192500000001</v>
      </c>
      <c r="G329" s="29">
        <v>44652</v>
      </c>
      <c r="H329" s="30">
        <v>44926</v>
      </c>
    </row>
    <row r="330" spans="1:8" x14ac:dyDescent="0.2">
      <c r="A330" s="32">
        <v>490001</v>
      </c>
      <c r="B330" s="27" t="s">
        <v>205</v>
      </c>
      <c r="C330" s="55">
        <v>427.03500000000003</v>
      </c>
      <c r="D330" s="55">
        <v>192.16575</v>
      </c>
      <c r="E330" s="28" t="s">
        <v>8</v>
      </c>
      <c r="F330" s="55"/>
      <c r="G330" s="29">
        <v>44652</v>
      </c>
      <c r="H330" s="30">
        <v>44926</v>
      </c>
    </row>
    <row r="331" spans="1:8" x14ac:dyDescent="0.2">
      <c r="A331" s="32">
        <v>500051</v>
      </c>
      <c r="B331" s="27" t="s">
        <v>206</v>
      </c>
      <c r="C331" s="55">
        <v>37.590000000000003</v>
      </c>
      <c r="D331" s="55">
        <v>16.915500000000002</v>
      </c>
      <c r="E331" s="28" t="s">
        <v>954</v>
      </c>
      <c r="F331" s="55">
        <v>15.731415000000002</v>
      </c>
      <c r="G331" s="29">
        <v>44652</v>
      </c>
      <c r="H331" s="30">
        <v>44926</v>
      </c>
    </row>
    <row r="332" spans="1:8" x14ac:dyDescent="0.2">
      <c r="A332" s="32">
        <v>500052</v>
      </c>
      <c r="B332" s="27" t="s">
        <v>207</v>
      </c>
      <c r="C332" s="55">
        <v>17.77</v>
      </c>
      <c r="D332" s="55">
        <v>7.9965000000000002</v>
      </c>
      <c r="E332" s="28" t="s">
        <v>954</v>
      </c>
      <c r="F332" s="55">
        <v>7.4367450000000002</v>
      </c>
      <c r="G332" s="29">
        <v>44652</v>
      </c>
      <c r="H332" s="30">
        <v>44926</v>
      </c>
    </row>
    <row r="333" spans="1:8" x14ac:dyDescent="0.2">
      <c r="A333" s="32">
        <v>500053</v>
      </c>
      <c r="B333" s="27" t="s">
        <v>208</v>
      </c>
      <c r="C333" s="55">
        <v>17.649999999999999</v>
      </c>
      <c r="D333" s="55">
        <v>7.9424999999999999</v>
      </c>
      <c r="E333" s="28" t="s">
        <v>954</v>
      </c>
      <c r="F333" s="55">
        <v>7.3865250000000007</v>
      </c>
      <c r="G333" s="29">
        <v>44652</v>
      </c>
      <c r="H333" s="30">
        <v>44926</v>
      </c>
    </row>
    <row r="334" spans="1:8" x14ac:dyDescent="0.2">
      <c r="A334" s="32">
        <v>500054</v>
      </c>
      <c r="B334" s="27" t="s">
        <v>209</v>
      </c>
      <c r="C334" s="55">
        <v>25.82</v>
      </c>
      <c r="D334" s="55">
        <v>11.619</v>
      </c>
      <c r="E334" s="28" t="s">
        <v>954</v>
      </c>
      <c r="F334" s="55">
        <v>10.805670000000001</v>
      </c>
      <c r="G334" s="29">
        <v>44652</v>
      </c>
      <c r="H334" s="30">
        <v>44926</v>
      </c>
    </row>
    <row r="335" spans="1:8" x14ac:dyDescent="0.2">
      <c r="A335" s="32">
        <v>500055</v>
      </c>
      <c r="B335" s="27" t="s">
        <v>210</v>
      </c>
      <c r="C335" s="55">
        <v>25.82</v>
      </c>
      <c r="D335" s="55">
        <v>11.619</v>
      </c>
      <c r="E335" s="28" t="s">
        <v>954</v>
      </c>
      <c r="F335" s="55">
        <v>10.805670000000001</v>
      </c>
      <c r="G335" s="29">
        <v>44652</v>
      </c>
      <c r="H335" s="30">
        <v>44926</v>
      </c>
    </row>
    <row r="336" spans="1:8" x14ac:dyDescent="0.2">
      <c r="A336" s="32">
        <v>500056</v>
      </c>
      <c r="B336" s="27" t="s">
        <v>211</v>
      </c>
      <c r="C336" s="55">
        <v>18.920000000000002</v>
      </c>
      <c r="D336" s="55">
        <v>8.5140000000000011</v>
      </c>
      <c r="E336" s="28" t="s">
        <v>954</v>
      </c>
      <c r="F336" s="55">
        <v>7.9180200000000012</v>
      </c>
      <c r="G336" s="29">
        <v>44652</v>
      </c>
      <c r="H336" s="30">
        <v>44926</v>
      </c>
    </row>
    <row r="337" spans="1:8" x14ac:dyDescent="0.2">
      <c r="A337" s="32">
        <v>500057</v>
      </c>
      <c r="B337" s="27" t="s">
        <v>1041</v>
      </c>
      <c r="C337" s="55">
        <v>37.020000000000003</v>
      </c>
      <c r="D337" s="55">
        <v>16.659000000000002</v>
      </c>
      <c r="E337" s="28" t="s">
        <v>954</v>
      </c>
      <c r="F337" s="55">
        <v>15.492870000000003</v>
      </c>
      <c r="G337" s="29">
        <v>44652</v>
      </c>
      <c r="H337" s="30">
        <v>44926</v>
      </c>
    </row>
    <row r="338" spans="1:8" x14ac:dyDescent="0.2">
      <c r="A338" s="32">
        <v>500058</v>
      </c>
      <c r="B338" s="27" t="s">
        <v>212</v>
      </c>
      <c r="C338" s="55">
        <v>20.54</v>
      </c>
      <c r="D338" s="55">
        <v>9.2430000000000003</v>
      </c>
      <c r="E338" s="28" t="s">
        <v>954</v>
      </c>
      <c r="F338" s="55">
        <v>8.5959900000000005</v>
      </c>
      <c r="G338" s="29">
        <v>44652</v>
      </c>
      <c r="H338" s="30">
        <v>44926</v>
      </c>
    </row>
    <row r="339" spans="1:8" x14ac:dyDescent="0.2">
      <c r="A339" s="32">
        <v>500059</v>
      </c>
      <c r="B339" s="27" t="s">
        <v>213</v>
      </c>
      <c r="C339" s="55">
        <v>21.01</v>
      </c>
      <c r="D339" s="55">
        <v>9.4545000000000012</v>
      </c>
      <c r="E339" s="28" t="s">
        <v>954</v>
      </c>
      <c r="F339" s="55">
        <v>8.7926850000000023</v>
      </c>
      <c r="G339" s="29">
        <v>44652</v>
      </c>
      <c r="H339" s="30">
        <v>44926</v>
      </c>
    </row>
    <row r="340" spans="1:8" x14ac:dyDescent="0.2">
      <c r="A340" s="32">
        <v>500061</v>
      </c>
      <c r="B340" s="27" t="s">
        <v>214</v>
      </c>
      <c r="C340" s="55">
        <v>31.29</v>
      </c>
      <c r="D340" s="55">
        <v>14.080500000000001</v>
      </c>
      <c r="E340" s="28" t="s">
        <v>954</v>
      </c>
      <c r="F340" s="55">
        <v>13.094865000000002</v>
      </c>
      <c r="G340" s="29">
        <v>44652</v>
      </c>
      <c r="H340" s="30">
        <v>44926</v>
      </c>
    </row>
    <row r="341" spans="1:8" x14ac:dyDescent="0.2">
      <c r="A341" s="32">
        <v>500062</v>
      </c>
      <c r="B341" s="27" t="s">
        <v>1042</v>
      </c>
      <c r="C341" s="55">
        <v>44.77</v>
      </c>
      <c r="D341" s="55">
        <v>20.146500000000003</v>
      </c>
      <c r="E341" s="28" t="s">
        <v>954</v>
      </c>
      <c r="F341" s="55">
        <v>18.736245000000004</v>
      </c>
      <c r="G341" s="29">
        <v>44652</v>
      </c>
      <c r="H341" s="30">
        <v>44926</v>
      </c>
    </row>
    <row r="342" spans="1:8" x14ac:dyDescent="0.2">
      <c r="A342" s="32">
        <v>500252</v>
      </c>
      <c r="B342" s="27" t="s">
        <v>215</v>
      </c>
      <c r="C342" s="55">
        <v>37.852499999999999</v>
      </c>
      <c r="D342" s="55">
        <v>17.033625000000001</v>
      </c>
      <c r="E342" s="28" t="s">
        <v>954</v>
      </c>
      <c r="F342" s="55">
        <v>15.841271250000002</v>
      </c>
      <c r="G342" s="29">
        <v>44652</v>
      </c>
      <c r="H342" s="30">
        <v>44926</v>
      </c>
    </row>
    <row r="343" spans="1:8" x14ac:dyDescent="0.2">
      <c r="A343" s="32">
        <v>500253</v>
      </c>
      <c r="B343" s="27" t="s">
        <v>216</v>
      </c>
      <c r="C343" s="55">
        <v>37.852499999999999</v>
      </c>
      <c r="D343" s="55">
        <v>17.033625000000001</v>
      </c>
      <c r="E343" s="28" t="s">
        <v>954</v>
      </c>
      <c r="F343" s="55">
        <v>15.841271250000002</v>
      </c>
      <c r="G343" s="29">
        <v>44652</v>
      </c>
      <c r="H343" s="30">
        <v>44926</v>
      </c>
    </row>
    <row r="344" spans="1:8" x14ac:dyDescent="0.2">
      <c r="A344" s="32">
        <v>500254</v>
      </c>
      <c r="B344" s="27" t="s">
        <v>217</v>
      </c>
      <c r="C344" s="55">
        <v>40.099499999999999</v>
      </c>
      <c r="D344" s="55">
        <v>18.044775000000001</v>
      </c>
      <c r="E344" s="28" t="s">
        <v>954</v>
      </c>
      <c r="F344" s="55">
        <v>16.781640750000001</v>
      </c>
      <c r="G344" s="29">
        <v>44652</v>
      </c>
      <c r="H344" s="30">
        <v>44926</v>
      </c>
    </row>
    <row r="345" spans="1:8" x14ac:dyDescent="0.2">
      <c r="A345" s="32">
        <v>500255</v>
      </c>
      <c r="B345" s="27" t="s">
        <v>218</v>
      </c>
      <c r="C345" s="55">
        <v>40.099499999999999</v>
      </c>
      <c r="D345" s="55">
        <v>18.044775000000001</v>
      </c>
      <c r="E345" s="28" t="s">
        <v>954</v>
      </c>
      <c r="F345" s="55">
        <v>16.781640750000001</v>
      </c>
      <c r="G345" s="29">
        <v>44652</v>
      </c>
      <c r="H345" s="30">
        <v>44926</v>
      </c>
    </row>
    <row r="346" spans="1:8" x14ac:dyDescent="0.2">
      <c r="A346" s="32">
        <v>500258</v>
      </c>
      <c r="B346" s="27" t="s">
        <v>222</v>
      </c>
      <c r="C346" s="55">
        <v>64.00800000000001</v>
      </c>
      <c r="D346" s="55">
        <v>28.803600000000007</v>
      </c>
      <c r="E346" s="28" t="s">
        <v>954</v>
      </c>
      <c r="F346" s="55">
        <v>26.787348000000009</v>
      </c>
      <c r="G346" s="29">
        <v>44652</v>
      </c>
      <c r="H346" s="30">
        <v>44926</v>
      </c>
    </row>
    <row r="347" spans="1:8" x14ac:dyDescent="0.2">
      <c r="A347" s="32">
        <v>500259</v>
      </c>
      <c r="B347" s="27" t="s">
        <v>1318</v>
      </c>
      <c r="C347" s="55">
        <v>64.00800000000001</v>
      </c>
      <c r="D347" s="55">
        <v>28.803600000000007</v>
      </c>
      <c r="E347" s="28" t="s">
        <v>954</v>
      </c>
      <c r="F347" s="55">
        <v>26.787348000000009</v>
      </c>
      <c r="G347" s="29">
        <v>44652</v>
      </c>
      <c r="H347" s="30">
        <v>44926</v>
      </c>
    </row>
    <row r="348" spans="1:8" x14ac:dyDescent="0.2">
      <c r="A348" s="32">
        <v>500263</v>
      </c>
      <c r="B348" s="27" t="s">
        <v>224</v>
      </c>
      <c r="C348" s="55">
        <v>63.189</v>
      </c>
      <c r="D348" s="55">
        <v>28.43505</v>
      </c>
      <c r="E348" s="28" t="s">
        <v>954</v>
      </c>
      <c r="F348" s="55">
        <v>26.444596500000003</v>
      </c>
      <c r="G348" s="29">
        <v>44652</v>
      </c>
      <c r="H348" s="30">
        <v>44926</v>
      </c>
    </row>
    <row r="349" spans="1:8" x14ac:dyDescent="0.2">
      <c r="A349" s="32">
        <v>500264</v>
      </c>
      <c r="B349" s="27" t="s">
        <v>1317</v>
      </c>
      <c r="C349" s="55">
        <v>63.189</v>
      </c>
      <c r="D349" s="55">
        <v>28.43505</v>
      </c>
      <c r="E349" s="28" t="s">
        <v>954</v>
      </c>
      <c r="F349" s="55">
        <v>26.444596500000003</v>
      </c>
      <c r="G349" s="29">
        <v>44652</v>
      </c>
      <c r="H349" s="30">
        <v>44926</v>
      </c>
    </row>
    <row r="350" spans="1:8" x14ac:dyDescent="0.2">
      <c r="A350" s="32">
        <v>500452</v>
      </c>
      <c r="B350" s="27" t="s">
        <v>215</v>
      </c>
      <c r="C350" s="55">
        <v>38</v>
      </c>
      <c r="D350" s="55">
        <v>17.100000000000001</v>
      </c>
      <c r="E350" s="28" t="s">
        <v>954</v>
      </c>
      <c r="F350" s="55">
        <v>15.903000000000002</v>
      </c>
      <c r="G350" s="29">
        <v>44652</v>
      </c>
      <c r="H350" s="30">
        <v>44926</v>
      </c>
    </row>
    <row r="351" spans="1:8" x14ac:dyDescent="0.2">
      <c r="A351" s="32">
        <v>500453</v>
      </c>
      <c r="B351" s="27" t="s">
        <v>219</v>
      </c>
      <c r="C351" s="55">
        <v>35.5</v>
      </c>
      <c r="D351" s="55">
        <v>15.975</v>
      </c>
      <c r="E351" s="28" t="s">
        <v>954</v>
      </c>
      <c r="F351" s="55">
        <v>14.85675</v>
      </c>
      <c r="G351" s="29">
        <v>44652</v>
      </c>
      <c r="H351" s="30">
        <v>44926</v>
      </c>
    </row>
    <row r="352" spans="1:8" x14ac:dyDescent="0.2">
      <c r="A352" s="32">
        <v>500454</v>
      </c>
      <c r="B352" s="27" t="s">
        <v>220</v>
      </c>
      <c r="C352" s="55">
        <v>43.75</v>
      </c>
      <c r="D352" s="55">
        <v>19.6875</v>
      </c>
      <c r="E352" s="28" t="s">
        <v>954</v>
      </c>
      <c r="F352" s="55">
        <v>18.309374999999999</v>
      </c>
      <c r="G352" s="29">
        <v>44652</v>
      </c>
      <c r="H352" s="30">
        <v>44926</v>
      </c>
    </row>
    <row r="353" spans="1:8" x14ac:dyDescent="0.2">
      <c r="A353" s="32">
        <v>500455</v>
      </c>
      <c r="B353" s="27" t="s">
        <v>221</v>
      </c>
      <c r="C353" s="55">
        <v>37.296000000000006</v>
      </c>
      <c r="D353" s="55">
        <v>16.783200000000004</v>
      </c>
      <c r="E353" s="28" t="s">
        <v>954</v>
      </c>
      <c r="F353" s="55">
        <v>15.608376000000005</v>
      </c>
      <c r="G353" s="29">
        <v>44652</v>
      </c>
      <c r="H353" s="30">
        <v>44926</v>
      </c>
    </row>
    <row r="354" spans="1:8" x14ac:dyDescent="0.2">
      <c r="A354" s="32">
        <v>500458</v>
      </c>
      <c r="B354" s="27" t="s">
        <v>222</v>
      </c>
      <c r="C354" s="55">
        <v>61.204500000000003</v>
      </c>
      <c r="D354" s="55">
        <v>27.542025000000002</v>
      </c>
      <c r="E354" s="28" t="s">
        <v>954</v>
      </c>
      <c r="F354" s="55">
        <v>25.614083250000004</v>
      </c>
      <c r="G354" s="29">
        <v>44652</v>
      </c>
      <c r="H354" s="30">
        <v>44926</v>
      </c>
    </row>
    <row r="355" spans="1:8" x14ac:dyDescent="0.2">
      <c r="A355" s="32">
        <v>500459</v>
      </c>
      <c r="B355" s="27" t="s">
        <v>223</v>
      </c>
      <c r="C355" s="55">
        <v>61.204500000000003</v>
      </c>
      <c r="D355" s="55">
        <v>27.542025000000002</v>
      </c>
      <c r="E355" s="28" t="s">
        <v>954</v>
      </c>
      <c r="F355" s="55">
        <v>25.614083250000004</v>
      </c>
      <c r="G355" s="29">
        <v>44652</v>
      </c>
      <c r="H355" s="30">
        <v>44926</v>
      </c>
    </row>
    <row r="356" spans="1:8" x14ac:dyDescent="0.2">
      <c r="A356" s="32">
        <v>500463</v>
      </c>
      <c r="B356" s="27" t="s">
        <v>224</v>
      </c>
      <c r="C356" s="55">
        <v>60.3855</v>
      </c>
      <c r="D356" s="55">
        <v>27.173475</v>
      </c>
      <c r="E356" s="28" t="s">
        <v>954</v>
      </c>
      <c r="F356" s="55">
        <v>25.271331750000002</v>
      </c>
      <c r="G356" s="29">
        <v>44652</v>
      </c>
      <c r="H356" s="30">
        <v>44926</v>
      </c>
    </row>
    <row r="357" spans="1:8" x14ac:dyDescent="0.2">
      <c r="A357" s="32">
        <v>500464</v>
      </c>
      <c r="B357" s="27" t="s">
        <v>225</v>
      </c>
      <c r="C357" s="55">
        <v>60.3855</v>
      </c>
      <c r="D357" s="55">
        <v>27.173475</v>
      </c>
      <c r="E357" s="28" t="s">
        <v>954</v>
      </c>
      <c r="F357" s="55">
        <v>25.271331750000002</v>
      </c>
      <c r="G357" s="29">
        <v>44652</v>
      </c>
      <c r="H357" s="30">
        <v>44926</v>
      </c>
    </row>
    <row r="358" spans="1:8" x14ac:dyDescent="0.2">
      <c r="A358" s="32">
        <v>510001</v>
      </c>
      <c r="B358" s="27" t="s">
        <v>226</v>
      </c>
      <c r="C358" s="55">
        <v>22.46</v>
      </c>
      <c r="D358" s="55">
        <v>10.107000000000001</v>
      </c>
      <c r="E358" s="28" t="s">
        <v>954</v>
      </c>
      <c r="F358" s="55">
        <v>9.3995100000000011</v>
      </c>
      <c r="G358" s="29">
        <v>44652</v>
      </c>
      <c r="H358" s="30">
        <v>44926</v>
      </c>
    </row>
    <row r="359" spans="1:8" x14ac:dyDescent="0.2">
      <c r="A359" s="32">
        <v>510002</v>
      </c>
      <c r="B359" s="27" t="s">
        <v>227</v>
      </c>
      <c r="C359" s="55">
        <v>20.7</v>
      </c>
      <c r="D359" s="55">
        <v>9.3149999999999995</v>
      </c>
      <c r="E359" s="28" t="s">
        <v>954</v>
      </c>
      <c r="F359" s="55">
        <v>8.6629500000000004</v>
      </c>
      <c r="G359" s="29">
        <v>44652</v>
      </c>
      <c r="H359" s="30">
        <v>44926</v>
      </c>
    </row>
    <row r="360" spans="1:8" x14ac:dyDescent="0.2">
      <c r="A360" s="32">
        <v>510003</v>
      </c>
      <c r="B360" s="27" t="s">
        <v>228</v>
      </c>
      <c r="C360" s="55">
        <v>24.63</v>
      </c>
      <c r="D360" s="55">
        <v>11.083499999999999</v>
      </c>
      <c r="E360" s="28" t="s">
        <v>954</v>
      </c>
      <c r="F360" s="55">
        <v>10.307655</v>
      </c>
      <c r="G360" s="29">
        <v>44652</v>
      </c>
      <c r="H360" s="30">
        <v>44926</v>
      </c>
    </row>
    <row r="361" spans="1:8" x14ac:dyDescent="0.2">
      <c r="A361" s="32">
        <v>510004</v>
      </c>
      <c r="B361" s="27" t="s">
        <v>229</v>
      </c>
      <c r="C361" s="55">
        <v>21.77</v>
      </c>
      <c r="D361" s="55">
        <v>9.7965</v>
      </c>
      <c r="E361" s="28" t="s">
        <v>954</v>
      </c>
      <c r="F361" s="55">
        <v>9.1107449999999996</v>
      </c>
      <c r="G361" s="29">
        <v>44652</v>
      </c>
      <c r="H361" s="30">
        <v>44926</v>
      </c>
    </row>
    <row r="362" spans="1:8" x14ac:dyDescent="0.2">
      <c r="A362" s="32">
        <v>510005</v>
      </c>
      <c r="B362" s="27" t="s">
        <v>230</v>
      </c>
      <c r="C362" s="55">
        <v>24.1</v>
      </c>
      <c r="D362" s="55">
        <v>10.845000000000001</v>
      </c>
      <c r="E362" s="28" t="s">
        <v>954</v>
      </c>
      <c r="F362" s="55">
        <v>10.085850000000001</v>
      </c>
      <c r="G362" s="29">
        <v>44652</v>
      </c>
      <c r="H362" s="30">
        <v>44926</v>
      </c>
    </row>
    <row r="363" spans="1:8" x14ac:dyDescent="0.2">
      <c r="A363" s="32">
        <v>510006</v>
      </c>
      <c r="B363" s="27" t="s">
        <v>231</v>
      </c>
      <c r="C363" s="55">
        <v>23.75</v>
      </c>
      <c r="D363" s="55">
        <v>10.6875</v>
      </c>
      <c r="E363" s="28" t="s">
        <v>954</v>
      </c>
      <c r="F363" s="55">
        <v>9.9393750000000001</v>
      </c>
      <c r="G363" s="29">
        <v>44652</v>
      </c>
      <c r="H363" s="30">
        <v>44926</v>
      </c>
    </row>
    <row r="364" spans="1:8" x14ac:dyDescent="0.2">
      <c r="A364" s="32">
        <v>510007</v>
      </c>
      <c r="B364" s="27" t="s">
        <v>232</v>
      </c>
      <c r="C364" s="55">
        <v>23.687999999999999</v>
      </c>
      <c r="D364" s="55">
        <v>10.659599999999999</v>
      </c>
      <c r="E364" s="28" t="s">
        <v>954</v>
      </c>
      <c r="F364" s="55">
        <v>9.9134279999999997</v>
      </c>
      <c r="G364" s="29">
        <v>44652</v>
      </c>
      <c r="H364" s="30">
        <v>44926</v>
      </c>
    </row>
    <row r="365" spans="1:8" x14ac:dyDescent="0.2">
      <c r="A365" s="32">
        <v>510008</v>
      </c>
      <c r="B365" s="27" t="s">
        <v>233</v>
      </c>
      <c r="C365" s="55">
        <v>23.687999999999999</v>
      </c>
      <c r="D365" s="55">
        <v>10.659599999999999</v>
      </c>
      <c r="E365" s="28" t="s">
        <v>954</v>
      </c>
      <c r="F365" s="55">
        <v>9.9134279999999997</v>
      </c>
      <c r="G365" s="29">
        <v>44652</v>
      </c>
      <c r="H365" s="30">
        <v>44926</v>
      </c>
    </row>
    <row r="366" spans="1:8" x14ac:dyDescent="0.2">
      <c r="A366" s="32">
        <v>510011</v>
      </c>
      <c r="B366" s="27" t="s">
        <v>234</v>
      </c>
      <c r="C366" s="55">
        <v>23.02</v>
      </c>
      <c r="D366" s="55">
        <v>10.359</v>
      </c>
      <c r="E366" s="28" t="s">
        <v>954</v>
      </c>
      <c r="F366" s="55">
        <v>9.6338699999999999</v>
      </c>
      <c r="G366" s="29">
        <v>44652</v>
      </c>
      <c r="H366" s="30">
        <v>44926</v>
      </c>
    </row>
    <row r="367" spans="1:8" x14ac:dyDescent="0.2">
      <c r="A367" s="32">
        <v>510012</v>
      </c>
      <c r="B367" s="27" t="s">
        <v>235</v>
      </c>
      <c r="C367" s="55">
        <v>21.25</v>
      </c>
      <c r="D367" s="55">
        <v>9.5625</v>
      </c>
      <c r="E367" s="28" t="s">
        <v>954</v>
      </c>
      <c r="F367" s="55">
        <v>8.8931250000000013</v>
      </c>
      <c r="G367" s="29">
        <v>44652</v>
      </c>
      <c r="H367" s="30">
        <v>44926</v>
      </c>
    </row>
    <row r="368" spans="1:8" x14ac:dyDescent="0.2">
      <c r="A368" s="32">
        <v>510013</v>
      </c>
      <c r="B368" s="27" t="s">
        <v>236</v>
      </c>
      <c r="C368" s="55">
        <v>24.63</v>
      </c>
      <c r="D368" s="55">
        <v>11.083499999999999</v>
      </c>
      <c r="E368" s="28" t="s">
        <v>954</v>
      </c>
      <c r="F368" s="55">
        <v>10.307655</v>
      </c>
      <c r="G368" s="29">
        <v>44652</v>
      </c>
      <c r="H368" s="30">
        <v>44926</v>
      </c>
    </row>
    <row r="369" spans="1:8" x14ac:dyDescent="0.2">
      <c r="A369" s="32">
        <v>510014</v>
      </c>
      <c r="B369" s="27" t="s">
        <v>237</v>
      </c>
      <c r="C369" s="55">
        <v>21.71</v>
      </c>
      <c r="D369" s="55">
        <v>9.7695000000000007</v>
      </c>
      <c r="E369" s="28" t="s">
        <v>954</v>
      </c>
      <c r="F369" s="55">
        <v>9.0856350000000017</v>
      </c>
      <c r="G369" s="29">
        <v>44652</v>
      </c>
      <c r="H369" s="30">
        <v>44926</v>
      </c>
    </row>
    <row r="370" spans="1:8" x14ac:dyDescent="0.2">
      <c r="A370" s="32">
        <v>510015</v>
      </c>
      <c r="B370" s="27" t="s">
        <v>238</v>
      </c>
      <c r="C370" s="55">
        <v>25.5</v>
      </c>
      <c r="D370" s="55">
        <v>11.475</v>
      </c>
      <c r="E370" s="28" t="s">
        <v>954</v>
      </c>
      <c r="F370" s="55">
        <v>10.671749999999999</v>
      </c>
      <c r="G370" s="29">
        <v>44652</v>
      </c>
      <c r="H370" s="30">
        <v>44926</v>
      </c>
    </row>
    <row r="371" spans="1:8" x14ac:dyDescent="0.2">
      <c r="A371" s="32">
        <v>510016</v>
      </c>
      <c r="B371" s="27" t="s">
        <v>239</v>
      </c>
      <c r="C371" s="55">
        <v>23.8</v>
      </c>
      <c r="D371" s="55">
        <v>10.71</v>
      </c>
      <c r="E371" s="28" t="s">
        <v>954</v>
      </c>
      <c r="F371" s="55">
        <v>9.9603000000000019</v>
      </c>
      <c r="G371" s="29">
        <v>44652</v>
      </c>
      <c r="H371" s="30">
        <v>44926</v>
      </c>
    </row>
    <row r="372" spans="1:8" x14ac:dyDescent="0.2">
      <c r="A372" s="32">
        <v>510017</v>
      </c>
      <c r="B372" s="27" t="s">
        <v>240</v>
      </c>
      <c r="C372" s="55">
        <v>24.444000000000003</v>
      </c>
      <c r="D372" s="55">
        <v>10.999800000000002</v>
      </c>
      <c r="E372" s="28" t="s">
        <v>954</v>
      </c>
      <c r="F372" s="55">
        <v>10.229814000000003</v>
      </c>
      <c r="G372" s="29">
        <v>44652</v>
      </c>
      <c r="H372" s="30">
        <v>44926</v>
      </c>
    </row>
    <row r="373" spans="1:8" x14ac:dyDescent="0.2">
      <c r="A373" s="32">
        <v>510018</v>
      </c>
      <c r="B373" s="27" t="s">
        <v>241</v>
      </c>
      <c r="C373" s="55">
        <v>25.546499999999998</v>
      </c>
      <c r="D373" s="55">
        <v>11.495925</v>
      </c>
      <c r="E373" s="28" t="s">
        <v>954</v>
      </c>
      <c r="F373" s="55">
        <v>10.691210250000001</v>
      </c>
      <c r="G373" s="29">
        <v>44652</v>
      </c>
      <c r="H373" s="30">
        <v>44926</v>
      </c>
    </row>
    <row r="374" spans="1:8" x14ac:dyDescent="0.2">
      <c r="A374" s="32">
        <v>510021</v>
      </c>
      <c r="B374" s="27" t="s">
        <v>242</v>
      </c>
      <c r="C374" s="55">
        <v>41.37</v>
      </c>
      <c r="D374" s="55">
        <v>18.616499999999998</v>
      </c>
      <c r="E374" s="28" t="s">
        <v>954</v>
      </c>
      <c r="F374" s="55">
        <v>17.313344999999998</v>
      </c>
      <c r="G374" s="29">
        <v>44652</v>
      </c>
      <c r="H374" s="30">
        <v>44926</v>
      </c>
    </row>
    <row r="375" spans="1:8" x14ac:dyDescent="0.2">
      <c r="A375" s="32">
        <v>510022</v>
      </c>
      <c r="B375" s="27" t="s">
        <v>243</v>
      </c>
      <c r="C375" s="55">
        <v>41.37</v>
      </c>
      <c r="D375" s="55">
        <v>18.616499999999998</v>
      </c>
      <c r="E375" s="28" t="s">
        <v>954</v>
      </c>
      <c r="F375" s="55">
        <v>17.313344999999998</v>
      </c>
      <c r="G375" s="29">
        <v>44652</v>
      </c>
      <c r="H375" s="30">
        <v>44926</v>
      </c>
    </row>
    <row r="376" spans="1:8" x14ac:dyDescent="0.2">
      <c r="A376" s="32">
        <v>510023</v>
      </c>
      <c r="B376" s="27" t="s">
        <v>244</v>
      </c>
      <c r="C376" s="55">
        <v>41.37</v>
      </c>
      <c r="D376" s="55">
        <v>18.616499999999998</v>
      </c>
      <c r="E376" s="28" t="s">
        <v>954</v>
      </c>
      <c r="F376" s="55">
        <v>17.313344999999998</v>
      </c>
      <c r="G376" s="29">
        <v>44652</v>
      </c>
      <c r="H376" s="30">
        <v>44926</v>
      </c>
    </row>
    <row r="377" spans="1:8" x14ac:dyDescent="0.2">
      <c r="A377" s="32">
        <v>510024</v>
      </c>
      <c r="B377" s="27" t="s">
        <v>245</v>
      </c>
      <c r="C377" s="55">
        <v>41.37</v>
      </c>
      <c r="D377" s="55">
        <v>18.616499999999998</v>
      </c>
      <c r="E377" s="28" t="s">
        <v>954</v>
      </c>
      <c r="F377" s="55">
        <v>17.313344999999998</v>
      </c>
      <c r="G377" s="29">
        <v>44652</v>
      </c>
      <c r="H377" s="30">
        <v>44926</v>
      </c>
    </row>
    <row r="378" spans="1:8" x14ac:dyDescent="0.2">
      <c r="A378" s="32">
        <v>510025</v>
      </c>
      <c r="B378" s="27" t="s">
        <v>246</v>
      </c>
      <c r="C378" s="55">
        <v>41.37</v>
      </c>
      <c r="D378" s="55">
        <v>18.616499999999998</v>
      </c>
      <c r="E378" s="28" t="s">
        <v>954</v>
      </c>
      <c r="F378" s="55">
        <v>17.313344999999998</v>
      </c>
      <c r="G378" s="29">
        <v>44652</v>
      </c>
      <c r="H378" s="30">
        <v>44926</v>
      </c>
    </row>
    <row r="379" spans="1:8" x14ac:dyDescent="0.2">
      <c r="A379" s="32">
        <v>510026</v>
      </c>
      <c r="B379" s="27" t="s">
        <v>247</v>
      </c>
      <c r="C379" s="55">
        <v>41.37</v>
      </c>
      <c r="D379" s="55">
        <v>18.616499999999998</v>
      </c>
      <c r="E379" s="28" t="s">
        <v>954</v>
      </c>
      <c r="F379" s="55">
        <v>17.313344999999998</v>
      </c>
      <c r="G379" s="29">
        <v>44652</v>
      </c>
      <c r="H379" s="30">
        <v>44926</v>
      </c>
    </row>
    <row r="380" spans="1:8" x14ac:dyDescent="0.2">
      <c r="A380" s="32">
        <v>510027</v>
      </c>
      <c r="B380" s="27" t="s">
        <v>1357</v>
      </c>
      <c r="C380" s="55">
        <v>43.911000000000001</v>
      </c>
      <c r="D380" s="55">
        <v>19.75995</v>
      </c>
      <c r="E380" s="28" t="s">
        <v>954</v>
      </c>
      <c r="F380" s="55">
        <v>18.3767535</v>
      </c>
      <c r="G380" s="29">
        <v>44652</v>
      </c>
      <c r="H380" s="30">
        <v>44926</v>
      </c>
    </row>
    <row r="381" spans="1:8" x14ac:dyDescent="0.2">
      <c r="A381" s="32">
        <v>510028</v>
      </c>
      <c r="B381" s="27" t="s">
        <v>1354</v>
      </c>
      <c r="C381" s="55">
        <v>43.911000000000001</v>
      </c>
      <c r="D381" s="55">
        <v>19.75995</v>
      </c>
      <c r="E381" s="28" t="s">
        <v>954</v>
      </c>
      <c r="F381" s="55">
        <v>18.3767535</v>
      </c>
      <c r="G381" s="29">
        <v>44652</v>
      </c>
      <c r="H381" s="30">
        <v>44926</v>
      </c>
    </row>
    <row r="382" spans="1:8" x14ac:dyDescent="0.2">
      <c r="A382" s="32">
        <v>510031</v>
      </c>
      <c r="B382" s="27" t="s">
        <v>248</v>
      </c>
      <c r="C382" s="55">
        <v>42.073500000000003</v>
      </c>
      <c r="D382" s="55">
        <v>18.933075000000002</v>
      </c>
      <c r="E382" s="28" t="s">
        <v>954</v>
      </c>
      <c r="F382" s="55">
        <v>17.607759750000003</v>
      </c>
      <c r="G382" s="29">
        <v>44652</v>
      </c>
      <c r="H382" s="30">
        <v>44926</v>
      </c>
    </row>
    <row r="383" spans="1:8" x14ac:dyDescent="0.2">
      <c r="A383" s="32">
        <v>510032</v>
      </c>
      <c r="B383" s="27" t="s">
        <v>249</v>
      </c>
      <c r="C383" s="55">
        <v>42.073500000000003</v>
      </c>
      <c r="D383" s="55">
        <v>18.933075000000002</v>
      </c>
      <c r="E383" s="28" t="s">
        <v>954</v>
      </c>
      <c r="F383" s="55">
        <v>17.607759750000003</v>
      </c>
      <c r="G383" s="29">
        <v>44652</v>
      </c>
      <c r="H383" s="30">
        <v>44926</v>
      </c>
    </row>
    <row r="384" spans="1:8" x14ac:dyDescent="0.2">
      <c r="A384" s="32">
        <v>510033</v>
      </c>
      <c r="B384" s="27" t="s">
        <v>250</v>
      </c>
      <c r="C384" s="55">
        <v>42.073500000000003</v>
      </c>
      <c r="D384" s="55">
        <v>18.933075000000002</v>
      </c>
      <c r="E384" s="28" t="s">
        <v>954</v>
      </c>
      <c r="F384" s="55">
        <v>17.607759750000003</v>
      </c>
      <c r="G384" s="29">
        <v>44652</v>
      </c>
      <c r="H384" s="30">
        <v>44926</v>
      </c>
    </row>
    <row r="385" spans="1:8" x14ac:dyDescent="0.2">
      <c r="A385" s="32">
        <v>510034</v>
      </c>
      <c r="B385" s="27" t="s">
        <v>251</v>
      </c>
      <c r="C385" s="55">
        <v>42.073500000000003</v>
      </c>
      <c r="D385" s="55">
        <v>18.933075000000002</v>
      </c>
      <c r="E385" s="28" t="s">
        <v>954</v>
      </c>
      <c r="F385" s="55">
        <v>17.607759750000003</v>
      </c>
      <c r="G385" s="29">
        <v>44652</v>
      </c>
      <c r="H385" s="30">
        <v>44926</v>
      </c>
    </row>
    <row r="386" spans="1:8" x14ac:dyDescent="0.2">
      <c r="A386" s="32">
        <v>510036</v>
      </c>
      <c r="B386" s="27" t="s">
        <v>252</v>
      </c>
      <c r="C386" s="55">
        <v>42.073500000000003</v>
      </c>
      <c r="D386" s="55">
        <v>18.933075000000002</v>
      </c>
      <c r="E386" s="28" t="s">
        <v>954</v>
      </c>
      <c r="F386" s="55">
        <v>17.607759750000003</v>
      </c>
      <c r="G386" s="29">
        <v>44652</v>
      </c>
      <c r="H386" s="30">
        <v>44926</v>
      </c>
    </row>
    <row r="387" spans="1:8" x14ac:dyDescent="0.2">
      <c r="A387" s="32">
        <v>510037</v>
      </c>
      <c r="B387" s="27" t="s">
        <v>1356</v>
      </c>
      <c r="C387" s="55">
        <v>44.667000000000002</v>
      </c>
      <c r="D387" s="55">
        <v>20.100150000000003</v>
      </c>
      <c r="E387" s="28" t="s">
        <v>954</v>
      </c>
      <c r="F387" s="55">
        <v>18.693139500000004</v>
      </c>
      <c r="G387" s="29">
        <v>44652</v>
      </c>
      <c r="H387" s="30">
        <v>44926</v>
      </c>
    </row>
    <row r="388" spans="1:8" x14ac:dyDescent="0.2">
      <c r="A388" s="32">
        <v>510038</v>
      </c>
      <c r="B388" s="27" t="s">
        <v>1355</v>
      </c>
      <c r="C388" s="55">
        <v>44.667000000000002</v>
      </c>
      <c r="D388" s="55">
        <v>20.100150000000003</v>
      </c>
      <c r="E388" s="28" t="s">
        <v>954</v>
      </c>
      <c r="F388" s="55">
        <v>18.693139500000004</v>
      </c>
      <c r="G388" s="29">
        <v>44652</v>
      </c>
      <c r="H388" s="30">
        <v>44926</v>
      </c>
    </row>
    <row r="389" spans="1:8" x14ac:dyDescent="0.2">
      <c r="A389" s="32">
        <v>510039</v>
      </c>
      <c r="B389" s="27" t="s">
        <v>1350</v>
      </c>
      <c r="C389" s="55">
        <v>26.544000000000004</v>
      </c>
      <c r="D389" s="55">
        <v>11.944800000000003</v>
      </c>
      <c r="E389" s="28" t="s">
        <v>954</v>
      </c>
      <c r="F389" s="55">
        <v>11.108664000000003</v>
      </c>
      <c r="G389" s="29">
        <v>44652</v>
      </c>
      <c r="H389" s="30">
        <v>44926</v>
      </c>
    </row>
    <row r="390" spans="1:8" x14ac:dyDescent="0.2">
      <c r="A390" s="32">
        <v>510040</v>
      </c>
      <c r="B390" s="27" t="s">
        <v>1351</v>
      </c>
      <c r="C390" s="55">
        <v>25.200000000000003</v>
      </c>
      <c r="D390" s="55">
        <v>11.340000000000002</v>
      </c>
      <c r="E390" s="28" t="s">
        <v>954</v>
      </c>
      <c r="F390" s="55">
        <v>10.546200000000002</v>
      </c>
      <c r="G390" s="29">
        <v>44652</v>
      </c>
      <c r="H390" s="30">
        <v>44926</v>
      </c>
    </row>
    <row r="391" spans="1:8" x14ac:dyDescent="0.2">
      <c r="A391" s="32">
        <v>510052</v>
      </c>
      <c r="B391" s="27" t="s">
        <v>253</v>
      </c>
      <c r="C391" s="55">
        <v>60.238500000000002</v>
      </c>
      <c r="D391" s="55">
        <v>27.107325000000003</v>
      </c>
      <c r="E391" s="28" t="s">
        <v>954</v>
      </c>
      <c r="F391" s="55">
        <v>25.209812250000002</v>
      </c>
      <c r="G391" s="29">
        <v>44652</v>
      </c>
      <c r="H391" s="30">
        <v>44926</v>
      </c>
    </row>
    <row r="392" spans="1:8" x14ac:dyDescent="0.2">
      <c r="A392" s="32">
        <v>510053</v>
      </c>
      <c r="B392" s="27" t="s">
        <v>254</v>
      </c>
      <c r="C392" s="55">
        <v>56.889000000000003</v>
      </c>
      <c r="D392" s="55">
        <v>25.600050000000003</v>
      </c>
      <c r="E392" s="28" t="s">
        <v>954</v>
      </c>
      <c r="F392" s="55">
        <v>23.808046500000003</v>
      </c>
      <c r="G392" s="29">
        <v>44652</v>
      </c>
      <c r="H392" s="30">
        <v>44926</v>
      </c>
    </row>
    <row r="393" spans="1:8" x14ac:dyDescent="0.2">
      <c r="A393" s="32">
        <v>510055</v>
      </c>
      <c r="B393" s="27" t="s">
        <v>255</v>
      </c>
      <c r="C393" s="55">
        <v>56.889000000000003</v>
      </c>
      <c r="D393" s="55">
        <v>25.600050000000003</v>
      </c>
      <c r="E393" s="28" t="s">
        <v>954</v>
      </c>
      <c r="F393" s="55">
        <v>23.808046500000003</v>
      </c>
      <c r="G393" s="29">
        <v>44652</v>
      </c>
      <c r="H393" s="30">
        <v>44926</v>
      </c>
    </row>
    <row r="394" spans="1:8" x14ac:dyDescent="0.2">
      <c r="A394" s="32">
        <v>510056</v>
      </c>
      <c r="B394" s="27" t="s">
        <v>256</v>
      </c>
      <c r="C394" s="55">
        <v>59.535000000000004</v>
      </c>
      <c r="D394" s="55">
        <v>26.790750000000003</v>
      </c>
      <c r="E394" s="28" t="s">
        <v>954</v>
      </c>
      <c r="F394" s="55">
        <v>24.915397500000005</v>
      </c>
      <c r="G394" s="29">
        <v>44652</v>
      </c>
      <c r="H394" s="30">
        <v>44926</v>
      </c>
    </row>
    <row r="395" spans="1:8" x14ac:dyDescent="0.2">
      <c r="A395" s="32">
        <v>510057</v>
      </c>
      <c r="B395" s="27" t="s">
        <v>1358</v>
      </c>
      <c r="C395" s="55">
        <v>60.532499999999999</v>
      </c>
      <c r="D395" s="55">
        <v>27.239625</v>
      </c>
      <c r="E395" s="28" t="s">
        <v>954</v>
      </c>
      <c r="F395" s="55">
        <v>25.332851250000001</v>
      </c>
      <c r="G395" s="29">
        <v>44652</v>
      </c>
      <c r="H395" s="30">
        <v>44926</v>
      </c>
    </row>
    <row r="396" spans="1:8" x14ac:dyDescent="0.2">
      <c r="A396" s="32">
        <v>510059</v>
      </c>
      <c r="B396" s="27" t="s">
        <v>257</v>
      </c>
      <c r="C396" s="55">
        <v>68.344500000000011</v>
      </c>
      <c r="D396" s="55">
        <v>30.755025000000007</v>
      </c>
      <c r="E396" s="28" t="s">
        <v>954</v>
      </c>
      <c r="F396" s="55">
        <v>28.602173250000007</v>
      </c>
      <c r="G396" s="29">
        <v>44652</v>
      </c>
      <c r="H396" s="30">
        <v>44926</v>
      </c>
    </row>
    <row r="397" spans="1:8" x14ac:dyDescent="0.2">
      <c r="A397" s="32">
        <v>510060</v>
      </c>
      <c r="B397" s="27" t="s">
        <v>258</v>
      </c>
      <c r="C397" s="55">
        <v>23.35</v>
      </c>
      <c r="D397" s="55">
        <v>10.5075</v>
      </c>
      <c r="E397" s="28" t="s">
        <v>954</v>
      </c>
      <c r="F397" s="55">
        <v>9.7719750000000012</v>
      </c>
      <c r="G397" s="29">
        <v>44652</v>
      </c>
      <c r="H397" s="30">
        <v>44926</v>
      </c>
    </row>
    <row r="398" spans="1:8" x14ac:dyDescent="0.2">
      <c r="A398" s="32">
        <v>510061</v>
      </c>
      <c r="B398" s="27" t="s">
        <v>259</v>
      </c>
      <c r="C398" s="55">
        <v>41.37</v>
      </c>
      <c r="D398" s="55">
        <v>18.616499999999998</v>
      </c>
      <c r="E398" s="28" t="s">
        <v>954</v>
      </c>
      <c r="F398" s="55">
        <v>17.313344999999998</v>
      </c>
      <c r="G398" s="29">
        <v>44652</v>
      </c>
      <c r="H398" s="30">
        <v>44926</v>
      </c>
    </row>
    <row r="399" spans="1:8" x14ac:dyDescent="0.2">
      <c r="A399" s="32">
        <v>510062</v>
      </c>
      <c r="B399" s="27" t="s">
        <v>260</v>
      </c>
      <c r="C399" s="55">
        <v>42.084000000000003</v>
      </c>
      <c r="D399" s="55">
        <v>18.937800000000003</v>
      </c>
      <c r="E399" s="28" t="s">
        <v>954</v>
      </c>
      <c r="F399" s="55">
        <v>17.612154000000004</v>
      </c>
      <c r="G399" s="29">
        <v>44652</v>
      </c>
      <c r="H399" s="30">
        <v>44926</v>
      </c>
    </row>
    <row r="400" spans="1:8" x14ac:dyDescent="0.2">
      <c r="A400" s="32">
        <v>510064</v>
      </c>
      <c r="B400" s="27" t="s">
        <v>261</v>
      </c>
      <c r="C400" s="55">
        <v>42.084000000000003</v>
      </c>
      <c r="D400" s="55">
        <v>18.937800000000003</v>
      </c>
      <c r="E400" s="28" t="s">
        <v>954</v>
      </c>
      <c r="F400" s="55">
        <v>17.612154000000004</v>
      </c>
      <c r="G400" s="29">
        <v>44652</v>
      </c>
      <c r="H400" s="30">
        <v>44926</v>
      </c>
    </row>
    <row r="401" spans="1:8" x14ac:dyDescent="0.2">
      <c r="A401" s="32">
        <v>560005</v>
      </c>
      <c r="B401" s="27" t="s">
        <v>262</v>
      </c>
      <c r="C401" s="55">
        <v>33.35</v>
      </c>
      <c r="D401" s="55">
        <v>15.0075</v>
      </c>
      <c r="E401" s="28" t="s">
        <v>954</v>
      </c>
      <c r="F401" s="55">
        <v>13.956975000000002</v>
      </c>
      <c r="G401" s="29">
        <v>44652</v>
      </c>
      <c r="H401" s="30">
        <v>44926</v>
      </c>
    </row>
    <row r="402" spans="1:8" x14ac:dyDescent="0.2">
      <c r="A402" s="32">
        <v>560007</v>
      </c>
      <c r="B402" s="27" t="s">
        <v>263</v>
      </c>
      <c r="C402" s="55">
        <v>32.299999999999997</v>
      </c>
      <c r="D402" s="55">
        <v>14.534999999999998</v>
      </c>
      <c r="E402" s="28" t="s">
        <v>954</v>
      </c>
      <c r="F402" s="55">
        <v>13.51755</v>
      </c>
      <c r="G402" s="29">
        <v>44652</v>
      </c>
      <c r="H402" s="30">
        <v>44926</v>
      </c>
    </row>
    <row r="403" spans="1:8" x14ac:dyDescent="0.2">
      <c r="A403" s="32">
        <v>560019</v>
      </c>
      <c r="B403" s="27" t="s">
        <v>264</v>
      </c>
      <c r="C403" s="55">
        <v>26.5</v>
      </c>
      <c r="D403" s="55">
        <v>11.925000000000001</v>
      </c>
      <c r="E403" s="28" t="s">
        <v>954</v>
      </c>
      <c r="F403" s="55">
        <v>11.090250000000001</v>
      </c>
      <c r="G403" s="29">
        <v>44652</v>
      </c>
      <c r="H403" s="30">
        <v>44926</v>
      </c>
    </row>
    <row r="404" spans="1:8" x14ac:dyDescent="0.2">
      <c r="A404" s="32">
        <v>560020</v>
      </c>
      <c r="B404" s="27" t="s">
        <v>265</v>
      </c>
      <c r="C404" s="55">
        <v>27.4</v>
      </c>
      <c r="D404" s="55">
        <v>12.33</v>
      </c>
      <c r="E404" s="28" t="s">
        <v>954</v>
      </c>
      <c r="F404" s="55">
        <v>11.466900000000001</v>
      </c>
      <c r="G404" s="29">
        <v>44652</v>
      </c>
      <c r="H404" s="30">
        <v>44926</v>
      </c>
    </row>
    <row r="405" spans="1:8" x14ac:dyDescent="0.2">
      <c r="A405" s="32">
        <v>560022</v>
      </c>
      <c r="B405" s="27" t="s">
        <v>266</v>
      </c>
      <c r="C405" s="55">
        <v>24</v>
      </c>
      <c r="D405" s="55">
        <v>10.8</v>
      </c>
      <c r="E405" s="28" t="s">
        <v>954</v>
      </c>
      <c r="F405" s="55">
        <v>10.044</v>
      </c>
      <c r="G405" s="29">
        <v>44652</v>
      </c>
      <c r="H405" s="30">
        <v>44926</v>
      </c>
    </row>
    <row r="406" spans="1:8" x14ac:dyDescent="0.2">
      <c r="A406" s="32">
        <v>560023</v>
      </c>
      <c r="B406" s="27" t="s">
        <v>267</v>
      </c>
      <c r="C406" s="55">
        <v>39.700000000000003</v>
      </c>
      <c r="D406" s="55">
        <v>17.865000000000002</v>
      </c>
      <c r="E406" s="28" t="s">
        <v>954</v>
      </c>
      <c r="F406" s="55">
        <v>16.614450000000001</v>
      </c>
      <c r="G406" s="29">
        <v>44652</v>
      </c>
      <c r="H406" s="30">
        <v>44926</v>
      </c>
    </row>
    <row r="407" spans="1:8" x14ac:dyDescent="0.2">
      <c r="A407" s="32">
        <v>560024</v>
      </c>
      <c r="B407" s="27" t="s">
        <v>268</v>
      </c>
      <c r="C407" s="55">
        <v>38.299999999999997</v>
      </c>
      <c r="D407" s="55">
        <v>17.234999999999999</v>
      </c>
      <c r="E407" s="28" t="s">
        <v>954</v>
      </c>
      <c r="F407" s="55">
        <v>16.028549999999999</v>
      </c>
      <c r="G407" s="29">
        <v>44652</v>
      </c>
      <c r="H407" s="30">
        <v>44926</v>
      </c>
    </row>
    <row r="408" spans="1:8" x14ac:dyDescent="0.2">
      <c r="A408" s="32">
        <v>560025</v>
      </c>
      <c r="B408" s="27" t="s">
        <v>269</v>
      </c>
      <c r="C408" s="55">
        <v>38.75</v>
      </c>
      <c r="D408" s="55">
        <v>17.4375</v>
      </c>
      <c r="E408" s="28" t="s">
        <v>954</v>
      </c>
      <c r="F408" s="55">
        <v>16.216875000000002</v>
      </c>
      <c r="G408" s="29">
        <v>44652</v>
      </c>
      <c r="H408" s="30">
        <v>44926</v>
      </c>
    </row>
    <row r="409" spans="1:8" x14ac:dyDescent="0.2">
      <c r="A409" s="32">
        <v>560027</v>
      </c>
      <c r="B409" s="27" t="s">
        <v>1047</v>
      </c>
      <c r="C409" s="55">
        <v>49.4</v>
      </c>
      <c r="D409" s="55">
        <v>22.23</v>
      </c>
      <c r="E409" s="28" t="s">
        <v>954</v>
      </c>
      <c r="F409" s="55">
        <v>20.6739</v>
      </c>
      <c r="G409" s="29">
        <v>44652</v>
      </c>
      <c r="H409" s="30">
        <v>44926</v>
      </c>
    </row>
    <row r="410" spans="1:8" x14ac:dyDescent="0.2">
      <c r="A410" s="32">
        <v>560028</v>
      </c>
      <c r="B410" s="27" t="s">
        <v>270</v>
      </c>
      <c r="C410" s="55">
        <v>30.5</v>
      </c>
      <c r="D410" s="55">
        <v>13.725</v>
      </c>
      <c r="E410" s="28" t="s">
        <v>954</v>
      </c>
      <c r="F410" s="55">
        <v>12.764250000000001</v>
      </c>
      <c r="G410" s="29">
        <v>44652</v>
      </c>
      <c r="H410" s="30">
        <v>44926</v>
      </c>
    </row>
    <row r="411" spans="1:8" x14ac:dyDescent="0.2">
      <c r="A411" s="32">
        <v>560029</v>
      </c>
      <c r="B411" s="27" t="s">
        <v>271</v>
      </c>
      <c r="C411" s="55">
        <v>30.5</v>
      </c>
      <c r="D411" s="55">
        <v>13.725</v>
      </c>
      <c r="E411" s="28" t="s">
        <v>954</v>
      </c>
      <c r="F411" s="55">
        <v>12.764250000000001</v>
      </c>
      <c r="G411" s="29">
        <v>44652</v>
      </c>
      <c r="H411" s="30">
        <v>44926</v>
      </c>
    </row>
    <row r="412" spans="1:8" x14ac:dyDescent="0.2">
      <c r="A412" s="32">
        <v>560030</v>
      </c>
      <c r="B412" s="27" t="s">
        <v>272</v>
      </c>
      <c r="C412" s="55">
        <v>38.75</v>
      </c>
      <c r="D412" s="55">
        <v>17.4375</v>
      </c>
      <c r="E412" s="28" t="s">
        <v>954</v>
      </c>
      <c r="F412" s="55">
        <v>16.216875000000002</v>
      </c>
      <c r="G412" s="29">
        <v>44652</v>
      </c>
      <c r="H412" s="30">
        <v>44926</v>
      </c>
    </row>
    <row r="413" spans="1:8" x14ac:dyDescent="0.2">
      <c r="A413" s="32">
        <v>560031</v>
      </c>
      <c r="B413" s="27" t="s">
        <v>273</v>
      </c>
      <c r="C413" s="55">
        <v>36.9</v>
      </c>
      <c r="D413" s="55">
        <v>16.605</v>
      </c>
      <c r="E413" s="28" t="s">
        <v>954</v>
      </c>
      <c r="F413" s="55">
        <v>15.44265</v>
      </c>
      <c r="G413" s="29">
        <v>44652</v>
      </c>
      <c r="H413" s="30">
        <v>44926</v>
      </c>
    </row>
    <row r="414" spans="1:8" x14ac:dyDescent="0.2">
      <c r="A414" s="32">
        <v>560032</v>
      </c>
      <c r="B414" s="27" t="s">
        <v>1044</v>
      </c>
      <c r="C414" s="55">
        <v>49.15</v>
      </c>
      <c r="D414" s="55">
        <v>22.1175</v>
      </c>
      <c r="E414" s="28" t="s">
        <v>954</v>
      </c>
      <c r="F414" s="55">
        <v>20.569275000000001</v>
      </c>
      <c r="G414" s="29">
        <v>44652</v>
      </c>
      <c r="H414" s="30">
        <v>44926</v>
      </c>
    </row>
    <row r="415" spans="1:8" x14ac:dyDescent="0.2">
      <c r="A415" s="32">
        <v>560033</v>
      </c>
      <c r="B415" s="27" t="s">
        <v>1046</v>
      </c>
      <c r="C415" s="55">
        <v>39.5</v>
      </c>
      <c r="D415" s="55">
        <v>17.775000000000002</v>
      </c>
      <c r="E415" s="28" t="s">
        <v>954</v>
      </c>
      <c r="F415" s="55">
        <v>16.530750000000001</v>
      </c>
      <c r="G415" s="29">
        <v>44652</v>
      </c>
      <c r="H415" s="30">
        <v>44926</v>
      </c>
    </row>
    <row r="416" spans="1:8" x14ac:dyDescent="0.2">
      <c r="A416" s="32">
        <v>560034</v>
      </c>
      <c r="B416" s="27" t="s">
        <v>274</v>
      </c>
      <c r="C416" s="55">
        <v>40.25</v>
      </c>
      <c r="D416" s="55">
        <v>18.112500000000001</v>
      </c>
      <c r="E416" s="28" t="s">
        <v>954</v>
      </c>
      <c r="F416" s="55">
        <v>16.844625000000001</v>
      </c>
      <c r="G416" s="29">
        <v>44652</v>
      </c>
      <c r="H416" s="30">
        <v>44926</v>
      </c>
    </row>
    <row r="417" spans="1:8" x14ac:dyDescent="0.2">
      <c r="A417" s="32">
        <v>560036</v>
      </c>
      <c r="B417" s="27" t="s">
        <v>275</v>
      </c>
      <c r="C417" s="55">
        <v>29.7</v>
      </c>
      <c r="D417" s="55">
        <v>13.365</v>
      </c>
      <c r="E417" s="28" t="s">
        <v>954</v>
      </c>
      <c r="F417" s="55">
        <v>12.429450000000001</v>
      </c>
      <c r="G417" s="29">
        <v>44652</v>
      </c>
      <c r="H417" s="30">
        <v>44926</v>
      </c>
    </row>
    <row r="418" spans="1:8" x14ac:dyDescent="0.2">
      <c r="A418" s="32">
        <v>560043</v>
      </c>
      <c r="B418" s="27" t="s">
        <v>276</v>
      </c>
      <c r="C418" s="55">
        <v>57.5</v>
      </c>
      <c r="D418" s="55">
        <v>25.875</v>
      </c>
      <c r="E418" s="28" t="s">
        <v>8</v>
      </c>
      <c r="F418" s="55"/>
      <c r="G418" s="29">
        <v>44652</v>
      </c>
      <c r="H418" s="30">
        <v>44926</v>
      </c>
    </row>
    <row r="419" spans="1:8" x14ac:dyDescent="0.2">
      <c r="A419" s="32">
        <v>560045</v>
      </c>
      <c r="B419" s="27" t="s">
        <v>277</v>
      </c>
      <c r="C419" s="55">
        <v>60.79</v>
      </c>
      <c r="D419" s="55">
        <v>27.355499999999999</v>
      </c>
      <c r="E419" s="28" t="s">
        <v>8</v>
      </c>
      <c r="F419" s="55"/>
      <c r="G419" s="29">
        <v>44652</v>
      </c>
      <c r="H419" s="30">
        <v>44926</v>
      </c>
    </row>
    <row r="420" spans="1:8" x14ac:dyDescent="0.2">
      <c r="A420" s="32">
        <v>560047</v>
      </c>
      <c r="B420" s="27" t="s">
        <v>278</v>
      </c>
      <c r="C420" s="55">
        <v>60</v>
      </c>
      <c r="D420" s="55">
        <v>27</v>
      </c>
      <c r="E420" s="28" t="s">
        <v>8</v>
      </c>
      <c r="F420" s="55"/>
      <c r="G420" s="29">
        <v>44652</v>
      </c>
      <c r="H420" s="30">
        <v>44926</v>
      </c>
    </row>
    <row r="421" spans="1:8" x14ac:dyDescent="0.2">
      <c r="A421" s="32">
        <v>560048</v>
      </c>
      <c r="B421" s="27" t="s">
        <v>1043</v>
      </c>
      <c r="C421" s="55">
        <v>64.75</v>
      </c>
      <c r="D421" s="55">
        <v>29.137499999999999</v>
      </c>
      <c r="E421" s="28" t="s">
        <v>8</v>
      </c>
      <c r="F421" s="55"/>
      <c r="G421" s="29">
        <v>44652</v>
      </c>
      <c r="H421" s="30">
        <v>44926</v>
      </c>
    </row>
    <row r="422" spans="1:8" x14ac:dyDescent="0.2">
      <c r="A422" s="32">
        <v>560051</v>
      </c>
      <c r="B422" s="27" t="s">
        <v>1050</v>
      </c>
      <c r="C422" s="55">
        <v>31</v>
      </c>
      <c r="D422" s="55">
        <v>13.950000000000001</v>
      </c>
      <c r="E422" s="28" t="s">
        <v>954</v>
      </c>
      <c r="F422" s="55">
        <v>12.973500000000001</v>
      </c>
      <c r="G422" s="29">
        <v>44652</v>
      </c>
      <c r="H422" s="30">
        <v>44926</v>
      </c>
    </row>
    <row r="423" spans="1:8" x14ac:dyDescent="0.2">
      <c r="A423" s="32">
        <v>560052</v>
      </c>
      <c r="B423" s="27" t="s">
        <v>279</v>
      </c>
      <c r="C423" s="55">
        <v>65</v>
      </c>
      <c r="D423" s="55">
        <v>29.25</v>
      </c>
      <c r="E423" s="28" t="s">
        <v>954</v>
      </c>
      <c r="F423" s="55">
        <v>27.202500000000001</v>
      </c>
      <c r="G423" s="29">
        <v>44652</v>
      </c>
      <c r="H423" s="30">
        <v>44926</v>
      </c>
    </row>
    <row r="424" spans="1:8" x14ac:dyDescent="0.2">
      <c r="A424" s="32">
        <v>560053</v>
      </c>
      <c r="B424" s="27" t="s">
        <v>280</v>
      </c>
      <c r="C424" s="55">
        <v>74.70750000000001</v>
      </c>
      <c r="D424" s="55">
        <v>33.618375000000007</v>
      </c>
      <c r="E424" s="28" t="s">
        <v>954</v>
      </c>
      <c r="F424" s="55">
        <v>31.265088750000007</v>
      </c>
      <c r="G424" s="29">
        <v>44652</v>
      </c>
      <c r="H424" s="30">
        <v>44926</v>
      </c>
    </row>
    <row r="425" spans="1:8" x14ac:dyDescent="0.2">
      <c r="A425" s="32">
        <v>560056</v>
      </c>
      <c r="B425" s="27" t="s">
        <v>1048</v>
      </c>
      <c r="C425" s="55">
        <v>42.2</v>
      </c>
      <c r="D425" s="55">
        <v>18.990000000000002</v>
      </c>
      <c r="E425" s="28" t="s">
        <v>954</v>
      </c>
      <c r="F425" s="55">
        <v>17.660700000000002</v>
      </c>
      <c r="G425" s="29">
        <v>44652</v>
      </c>
      <c r="H425" s="30">
        <v>44926</v>
      </c>
    </row>
    <row r="426" spans="1:8" x14ac:dyDescent="0.2">
      <c r="A426" s="32">
        <v>560058</v>
      </c>
      <c r="B426" s="27" t="s">
        <v>1048</v>
      </c>
      <c r="C426" s="55">
        <v>47.3</v>
      </c>
      <c r="D426" s="55">
        <v>21.285</v>
      </c>
      <c r="E426" s="28" t="s">
        <v>954</v>
      </c>
      <c r="F426" s="55">
        <v>19.79505</v>
      </c>
      <c r="G426" s="29">
        <v>44652</v>
      </c>
      <c r="H426" s="30">
        <v>44926</v>
      </c>
    </row>
    <row r="427" spans="1:8" x14ac:dyDescent="0.2">
      <c r="A427" s="32">
        <v>560059</v>
      </c>
      <c r="B427" s="27" t="s">
        <v>1049</v>
      </c>
      <c r="C427" s="55">
        <v>42.1</v>
      </c>
      <c r="D427" s="55">
        <v>18.945</v>
      </c>
      <c r="E427" s="28" t="s">
        <v>954</v>
      </c>
      <c r="F427" s="55">
        <v>17.618850000000002</v>
      </c>
      <c r="G427" s="29">
        <v>44652</v>
      </c>
      <c r="H427" s="30">
        <v>44926</v>
      </c>
    </row>
    <row r="428" spans="1:8" x14ac:dyDescent="0.2">
      <c r="A428" s="32">
        <v>560066</v>
      </c>
      <c r="B428" s="27" t="s">
        <v>1045</v>
      </c>
      <c r="C428" s="55">
        <v>48.15</v>
      </c>
      <c r="D428" s="55">
        <v>21.6675</v>
      </c>
      <c r="E428" s="28" t="s">
        <v>954</v>
      </c>
      <c r="F428" s="55">
        <v>20.150775000000003</v>
      </c>
      <c r="G428" s="29">
        <v>44652</v>
      </c>
      <c r="H428" s="30">
        <v>44926</v>
      </c>
    </row>
    <row r="429" spans="1:8" x14ac:dyDescent="0.2">
      <c r="A429" s="32">
        <v>560205</v>
      </c>
      <c r="B429" s="27" t="s">
        <v>281</v>
      </c>
      <c r="C429" s="55">
        <v>37.43</v>
      </c>
      <c r="D429" s="55">
        <v>16.843499999999999</v>
      </c>
      <c r="E429" s="28" t="s">
        <v>954</v>
      </c>
      <c r="F429" s="55">
        <v>15.664455</v>
      </c>
      <c r="G429" s="29">
        <v>44652</v>
      </c>
      <c r="H429" s="30">
        <v>44926</v>
      </c>
    </row>
    <row r="430" spans="1:8" x14ac:dyDescent="0.2">
      <c r="A430" s="32">
        <v>560207</v>
      </c>
      <c r="B430" s="27" t="s">
        <v>282</v>
      </c>
      <c r="C430" s="55">
        <v>37.82</v>
      </c>
      <c r="D430" s="55">
        <v>17.019000000000002</v>
      </c>
      <c r="E430" s="28" t="s">
        <v>954</v>
      </c>
      <c r="F430" s="55">
        <v>15.827670000000003</v>
      </c>
      <c r="G430" s="29">
        <v>44652</v>
      </c>
      <c r="H430" s="30">
        <v>44926</v>
      </c>
    </row>
    <row r="431" spans="1:8" x14ac:dyDescent="0.2">
      <c r="A431" s="32">
        <v>560219</v>
      </c>
      <c r="B431" s="27" t="s">
        <v>283</v>
      </c>
      <c r="C431" s="55">
        <v>34.25</v>
      </c>
      <c r="D431" s="55">
        <v>15.4125</v>
      </c>
      <c r="E431" s="28" t="s">
        <v>954</v>
      </c>
      <c r="F431" s="55">
        <v>14.333625</v>
      </c>
      <c r="G431" s="29">
        <v>44652</v>
      </c>
      <c r="H431" s="30">
        <v>44926</v>
      </c>
    </row>
    <row r="432" spans="1:8" x14ac:dyDescent="0.2">
      <c r="A432" s="32">
        <v>560220</v>
      </c>
      <c r="B432" s="27" t="s">
        <v>284</v>
      </c>
      <c r="C432" s="55">
        <v>31.5</v>
      </c>
      <c r="D432" s="55">
        <v>14.175000000000001</v>
      </c>
      <c r="E432" s="28" t="s">
        <v>954</v>
      </c>
      <c r="F432" s="55">
        <v>13.182750000000002</v>
      </c>
      <c r="G432" s="29">
        <v>44652</v>
      </c>
      <c r="H432" s="30">
        <v>44926</v>
      </c>
    </row>
    <row r="433" spans="1:8" x14ac:dyDescent="0.2">
      <c r="A433" s="32">
        <v>560223</v>
      </c>
      <c r="B433" s="27" t="s">
        <v>285</v>
      </c>
      <c r="C433" s="55">
        <v>55.114500000000007</v>
      </c>
      <c r="D433" s="55">
        <v>24.801525000000005</v>
      </c>
      <c r="E433" s="28" t="s">
        <v>954</v>
      </c>
      <c r="F433" s="55">
        <v>23.065418250000008</v>
      </c>
      <c r="G433" s="29">
        <v>44652</v>
      </c>
      <c r="H433" s="30">
        <v>44926</v>
      </c>
    </row>
    <row r="434" spans="1:8" x14ac:dyDescent="0.2">
      <c r="A434" s="32">
        <v>560224</v>
      </c>
      <c r="B434" s="27" t="s">
        <v>286</v>
      </c>
      <c r="C434" s="55">
        <v>55.114500000000007</v>
      </c>
      <c r="D434" s="55">
        <v>24.801525000000005</v>
      </c>
      <c r="E434" s="28" t="s">
        <v>954</v>
      </c>
      <c r="F434" s="55">
        <v>23.065418250000008</v>
      </c>
      <c r="G434" s="29">
        <v>44652</v>
      </c>
      <c r="H434" s="30">
        <v>44926</v>
      </c>
    </row>
    <row r="435" spans="1:8" x14ac:dyDescent="0.2">
      <c r="A435" s="32">
        <v>560228</v>
      </c>
      <c r="B435" s="27" t="s">
        <v>287</v>
      </c>
      <c r="C435" s="55">
        <v>36</v>
      </c>
      <c r="D435" s="55">
        <v>16.2</v>
      </c>
      <c r="E435" s="28" t="s">
        <v>954</v>
      </c>
      <c r="F435" s="55">
        <v>15.066000000000001</v>
      </c>
      <c r="G435" s="29">
        <v>44652</v>
      </c>
      <c r="H435" s="30">
        <v>44926</v>
      </c>
    </row>
    <row r="436" spans="1:8" x14ac:dyDescent="0.2">
      <c r="A436" s="32">
        <v>560229</v>
      </c>
      <c r="B436" s="27" t="s">
        <v>288</v>
      </c>
      <c r="C436" s="55">
        <v>35.301000000000002</v>
      </c>
      <c r="D436" s="55">
        <v>15.885450000000001</v>
      </c>
      <c r="E436" s="28" t="s">
        <v>954</v>
      </c>
      <c r="F436" s="55">
        <v>14.773468500000002</v>
      </c>
      <c r="G436" s="29">
        <v>44652</v>
      </c>
      <c r="H436" s="30">
        <v>44926</v>
      </c>
    </row>
    <row r="437" spans="1:8" x14ac:dyDescent="0.2">
      <c r="A437" s="32">
        <v>560230</v>
      </c>
      <c r="B437" s="27" t="s">
        <v>289</v>
      </c>
      <c r="C437" s="55">
        <v>40.750500000000002</v>
      </c>
      <c r="D437" s="55">
        <v>18.337725000000002</v>
      </c>
      <c r="E437" s="28" t="s">
        <v>954</v>
      </c>
      <c r="F437" s="55">
        <v>17.054084250000002</v>
      </c>
      <c r="G437" s="29">
        <v>44652</v>
      </c>
      <c r="H437" s="30">
        <v>44926</v>
      </c>
    </row>
    <row r="438" spans="1:8" x14ac:dyDescent="0.2">
      <c r="A438" s="32">
        <v>560231</v>
      </c>
      <c r="B438" s="27" t="s">
        <v>290</v>
      </c>
      <c r="C438" s="55">
        <v>40.771500000000003</v>
      </c>
      <c r="D438" s="55">
        <v>18.347175000000004</v>
      </c>
      <c r="E438" s="28" t="s">
        <v>954</v>
      </c>
      <c r="F438" s="55">
        <v>17.062872750000004</v>
      </c>
      <c r="G438" s="29">
        <v>44652</v>
      </c>
      <c r="H438" s="30">
        <v>44926</v>
      </c>
    </row>
    <row r="439" spans="1:8" x14ac:dyDescent="0.2">
      <c r="A439" s="32">
        <v>560232</v>
      </c>
      <c r="B439" s="27" t="s">
        <v>291</v>
      </c>
      <c r="C439" s="55">
        <v>58.390500000000003</v>
      </c>
      <c r="D439" s="55">
        <v>26.275725000000001</v>
      </c>
      <c r="E439" s="28" t="s">
        <v>954</v>
      </c>
      <c r="F439" s="55">
        <v>24.436424250000002</v>
      </c>
      <c r="G439" s="29">
        <v>44652</v>
      </c>
      <c r="H439" s="30">
        <v>44926</v>
      </c>
    </row>
    <row r="440" spans="1:8" x14ac:dyDescent="0.2">
      <c r="A440" s="32">
        <v>560233</v>
      </c>
      <c r="B440" s="27" t="s">
        <v>292</v>
      </c>
      <c r="C440" s="55">
        <v>58.390500000000003</v>
      </c>
      <c r="D440" s="55">
        <v>26.275725000000001</v>
      </c>
      <c r="E440" s="28" t="s">
        <v>954</v>
      </c>
      <c r="F440" s="55">
        <v>24.436424250000002</v>
      </c>
      <c r="G440" s="29">
        <v>44652</v>
      </c>
      <c r="H440" s="30">
        <v>44926</v>
      </c>
    </row>
    <row r="441" spans="1:8" x14ac:dyDescent="0.2">
      <c r="A441" s="32">
        <v>560238</v>
      </c>
      <c r="B441" s="27" t="s">
        <v>1274</v>
      </c>
      <c r="C441" s="55">
        <v>220.5</v>
      </c>
      <c r="D441" s="55">
        <v>99.225000000000009</v>
      </c>
      <c r="E441" s="28"/>
      <c r="F441" s="55">
        <v>92.279250000000019</v>
      </c>
      <c r="G441" s="29">
        <v>44652</v>
      </c>
      <c r="H441" s="30">
        <v>44926</v>
      </c>
    </row>
    <row r="442" spans="1:8" x14ac:dyDescent="0.2">
      <c r="A442" s="32">
        <v>560243</v>
      </c>
      <c r="B442" s="27" t="s">
        <v>293</v>
      </c>
      <c r="C442" s="55">
        <v>54.5</v>
      </c>
      <c r="D442" s="55">
        <v>24.525000000000002</v>
      </c>
      <c r="E442" s="28" t="s">
        <v>8</v>
      </c>
      <c r="F442" s="55"/>
      <c r="G442" s="29">
        <v>44652</v>
      </c>
      <c r="H442" s="30">
        <v>44926</v>
      </c>
    </row>
    <row r="443" spans="1:8" x14ac:dyDescent="0.2">
      <c r="A443" s="32">
        <v>560244</v>
      </c>
      <c r="B443" s="27" t="s">
        <v>294</v>
      </c>
      <c r="C443" s="55">
        <v>54.25</v>
      </c>
      <c r="D443" s="55">
        <v>24.412500000000001</v>
      </c>
      <c r="E443" s="28" t="s">
        <v>8</v>
      </c>
      <c r="F443" s="55"/>
      <c r="G443" s="29">
        <v>44652</v>
      </c>
      <c r="H443" s="30">
        <v>44926</v>
      </c>
    </row>
    <row r="444" spans="1:8" x14ac:dyDescent="0.2">
      <c r="A444" s="32">
        <v>560245</v>
      </c>
      <c r="B444" s="27" t="s">
        <v>295</v>
      </c>
      <c r="C444" s="55">
        <v>59</v>
      </c>
      <c r="D444" s="55">
        <v>26.55</v>
      </c>
      <c r="E444" s="28" t="s">
        <v>8</v>
      </c>
      <c r="F444" s="55"/>
      <c r="G444" s="29">
        <v>44652</v>
      </c>
      <c r="H444" s="30">
        <v>44926</v>
      </c>
    </row>
    <row r="445" spans="1:8" x14ac:dyDescent="0.2">
      <c r="A445" s="32">
        <v>560246</v>
      </c>
      <c r="B445" s="27" t="s">
        <v>1288</v>
      </c>
      <c r="C445" s="55">
        <v>61</v>
      </c>
      <c r="D445" s="55">
        <v>27.45</v>
      </c>
      <c r="E445" s="28" t="s">
        <v>8</v>
      </c>
      <c r="F445" s="55"/>
      <c r="G445" s="29">
        <v>44652</v>
      </c>
      <c r="H445" s="30">
        <v>44926</v>
      </c>
    </row>
    <row r="446" spans="1:8" x14ac:dyDescent="0.2">
      <c r="A446" s="32">
        <v>560247</v>
      </c>
      <c r="B446" s="27" t="s">
        <v>296</v>
      </c>
      <c r="C446" s="55">
        <v>55.25</v>
      </c>
      <c r="D446" s="55">
        <v>24.862500000000001</v>
      </c>
      <c r="E446" s="28" t="s">
        <v>8</v>
      </c>
      <c r="F446" s="55"/>
      <c r="G446" s="29">
        <v>44652</v>
      </c>
      <c r="H446" s="30">
        <v>44926</v>
      </c>
    </row>
    <row r="447" spans="1:8" x14ac:dyDescent="0.2">
      <c r="A447" s="32">
        <v>560248</v>
      </c>
      <c r="B447" s="27" t="s">
        <v>297</v>
      </c>
      <c r="C447" s="55">
        <v>56.5</v>
      </c>
      <c r="D447" s="55">
        <v>25.425000000000001</v>
      </c>
      <c r="E447" s="28" t="s">
        <v>8</v>
      </c>
      <c r="F447" s="55"/>
      <c r="G447" s="29">
        <v>44652</v>
      </c>
      <c r="H447" s="30">
        <v>44926</v>
      </c>
    </row>
    <row r="448" spans="1:8" x14ac:dyDescent="0.2">
      <c r="A448" s="32">
        <v>560249</v>
      </c>
      <c r="B448" s="27" t="s">
        <v>298</v>
      </c>
      <c r="C448" s="55">
        <v>64</v>
      </c>
      <c r="D448" s="55">
        <v>28.8</v>
      </c>
      <c r="E448" s="28" t="s">
        <v>8</v>
      </c>
      <c r="F448" s="55"/>
      <c r="G448" s="29">
        <v>44652</v>
      </c>
      <c r="H448" s="30">
        <v>44926</v>
      </c>
    </row>
    <row r="449" spans="1:8" x14ac:dyDescent="0.2">
      <c r="A449" s="32">
        <v>560250</v>
      </c>
      <c r="B449" s="27" t="s">
        <v>299</v>
      </c>
      <c r="C449" s="55">
        <v>60</v>
      </c>
      <c r="D449" s="55">
        <v>27</v>
      </c>
      <c r="E449" s="28" t="s">
        <v>8</v>
      </c>
      <c r="F449" s="55"/>
      <c r="G449" s="29">
        <v>44652</v>
      </c>
      <c r="H449" s="30">
        <v>44926</v>
      </c>
    </row>
    <row r="450" spans="1:8" x14ac:dyDescent="0.2">
      <c r="A450" s="32">
        <v>560253</v>
      </c>
      <c r="B450" s="27" t="s">
        <v>300</v>
      </c>
      <c r="C450" s="55">
        <v>54.243000000000002</v>
      </c>
      <c r="D450" s="55">
        <v>24.40935</v>
      </c>
      <c r="E450" s="28" t="s">
        <v>954</v>
      </c>
      <c r="F450" s="55">
        <v>22.700695500000002</v>
      </c>
      <c r="G450" s="29">
        <v>44652</v>
      </c>
      <c r="H450" s="30">
        <v>44926</v>
      </c>
    </row>
    <row r="451" spans="1:8" x14ac:dyDescent="0.2">
      <c r="A451" s="32">
        <v>560254</v>
      </c>
      <c r="B451" s="27" t="s">
        <v>301</v>
      </c>
      <c r="C451" s="55">
        <v>54.243000000000002</v>
      </c>
      <c r="D451" s="55">
        <v>24.40935</v>
      </c>
      <c r="E451" s="28" t="s">
        <v>954</v>
      </c>
      <c r="F451" s="55">
        <v>22.700695500000002</v>
      </c>
      <c r="G451" s="29">
        <v>44652</v>
      </c>
      <c r="H451" s="30">
        <v>44926</v>
      </c>
    </row>
    <row r="452" spans="1:8" x14ac:dyDescent="0.2">
      <c r="A452" s="32">
        <v>560255</v>
      </c>
      <c r="B452" s="27" t="s">
        <v>302</v>
      </c>
      <c r="C452" s="55">
        <v>51.5</v>
      </c>
      <c r="D452" s="55">
        <v>23.175000000000001</v>
      </c>
      <c r="E452" s="28" t="s">
        <v>954</v>
      </c>
      <c r="F452" s="55">
        <v>21.552750000000003</v>
      </c>
      <c r="G452" s="29">
        <v>44652</v>
      </c>
      <c r="H452" s="30">
        <v>44926</v>
      </c>
    </row>
    <row r="453" spans="1:8" x14ac:dyDescent="0.2">
      <c r="A453" s="32">
        <v>560258</v>
      </c>
      <c r="B453" s="27" t="s">
        <v>306</v>
      </c>
      <c r="C453" s="55">
        <v>50</v>
      </c>
      <c r="D453" s="55">
        <v>22.5</v>
      </c>
      <c r="E453" s="28" t="s">
        <v>954</v>
      </c>
      <c r="F453" s="55">
        <v>20.925000000000001</v>
      </c>
      <c r="G453" s="29">
        <v>44652</v>
      </c>
      <c r="H453" s="30">
        <v>44926</v>
      </c>
    </row>
    <row r="454" spans="1:8" x14ac:dyDescent="0.2">
      <c r="A454" s="32">
        <v>560259</v>
      </c>
      <c r="B454" s="27" t="s">
        <v>303</v>
      </c>
      <c r="C454" s="55">
        <v>44.5</v>
      </c>
      <c r="D454" s="55">
        <v>20.025000000000002</v>
      </c>
      <c r="E454" s="28" t="s">
        <v>954</v>
      </c>
      <c r="F454" s="55">
        <v>18.623250000000002</v>
      </c>
      <c r="G454" s="29">
        <v>44652</v>
      </c>
      <c r="H454" s="30">
        <v>44926</v>
      </c>
    </row>
    <row r="455" spans="1:8" x14ac:dyDescent="0.2">
      <c r="A455" s="32">
        <v>560260</v>
      </c>
      <c r="B455" s="27" t="s">
        <v>304</v>
      </c>
      <c r="C455" s="55">
        <v>61.75</v>
      </c>
      <c r="D455" s="55">
        <v>27.787500000000001</v>
      </c>
      <c r="E455" s="28" t="s">
        <v>954</v>
      </c>
      <c r="F455" s="55">
        <v>25.842375000000004</v>
      </c>
      <c r="G455" s="29">
        <v>44652</v>
      </c>
      <c r="H455" s="30">
        <v>44926</v>
      </c>
    </row>
    <row r="456" spans="1:8" x14ac:dyDescent="0.2">
      <c r="A456" s="32">
        <v>560261</v>
      </c>
      <c r="B456" s="27" t="s">
        <v>305</v>
      </c>
      <c r="C456" s="55">
        <v>65.5</v>
      </c>
      <c r="D456" s="55">
        <v>29.475000000000001</v>
      </c>
      <c r="E456" s="28" t="s">
        <v>954</v>
      </c>
      <c r="F456" s="55">
        <v>27.411750000000001</v>
      </c>
      <c r="G456" s="29">
        <v>44652</v>
      </c>
      <c r="H456" s="30">
        <v>44926</v>
      </c>
    </row>
    <row r="457" spans="1:8" x14ac:dyDescent="0.2">
      <c r="A457" s="32">
        <v>560262</v>
      </c>
      <c r="B457" s="27" t="s">
        <v>306</v>
      </c>
      <c r="C457" s="55">
        <v>48.2</v>
      </c>
      <c r="D457" s="55">
        <v>21.69</v>
      </c>
      <c r="E457" s="28" t="s">
        <v>954</v>
      </c>
      <c r="F457" s="55">
        <v>20.171700000000001</v>
      </c>
      <c r="G457" s="29">
        <v>44652</v>
      </c>
      <c r="H457" s="30">
        <v>44926</v>
      </c>
    </row>
    <row r="458" spans="1:8" x14ac:dyDescent="0.2">
      <c r="A458" s="32">
        <v>560265</v>
      </c>
      <c r="B458" s="27" t="s">
        <v>1280</v>
      </c>
      <c r="C458" s="55">
        <v>97</v>
      </c>
      <c r="D458" s="55">
        <v>43.65</v>
      </c>
      <c r="E458" s="28" t="s">
        <v>8</v>
      </c>
      <c r="F458" s="55"/>
      <c r="G458" s="29">
        <v>44652</v>
      </c>
      <c r="H458" s="30">
        <v>44926</v>
      </c>
    </row>
    <row r="459" spans="1:8" x14ac:dyDescent="0.2">
      <c r="A459" s="32">
        <v>560267</v>
      </c>
      <c r="B459" s="27" t="s">
        <v>1289</v>
      </c>
      <c r="C459" s="55">
        <v>94</v>
      </c>
      <c r="D459" s="55">
        <v>42.300000000000004</v>
      </c>
      <c r="E459" s="28" t="s">
        <v>8</v>
      </c>
      <c r="F459" s="55"/>
      <c r="G459" s="29">
        <v>44652</v>
      </c>
      <c r="H459" s="30">
        <v>44926</v>
      </c>
    </row>
    <row r="460" spans="1:8" x14ac:dyDescent="0.2">
      <c r="A460" s="32">
        <v>560268</v>
      </c>
      <c r="B460" s="27" t="s">
        <v>1287</v>
      </c>
      <c r="C460" s="55">
        <v>96</v>
      </c>
      <c r="D460" s="55">
        <v>43.2</v>
      </c>
      <c r="E460" s="28" t="s">
        <v>8</v>
      </c>
      <c r="F460" s="55"/>
      <c r="G460" s="29">
        <v>44652</v>
      </c>
      <c r="H460" s="30">
        <v>44926</v>
      </c>
    </row>
    <row r="461" spans="1:8" x14ac:dyDescent="0.2">
      <c r="A461" s="32">
        <v>560269</v>
      </c>
      <c r="B461" s="27" t="s">
        <v>307</v>
      </c>
      <c r="C461" s="55">
        <v>96</v>
      </c>
      <c r="D461" s="55">
        <v>43.2</v>
      </c>
      <c r="E461" s="28" t="s">
        <v>8</v>
      </c>
      <c r="F461" s="55"/>
      <c r="G461" s="29">
        <v>44652</v>
      </c>
      <c r="H461" s="30">
        <v>44926</v>
      </c>
    </row>
    <row r="462" spans="1:8" x14ac:dyDescent="0.2">
      <c r="A462" s="32">
        <v>560270</v>
      </c>
      <c r="B462" s="27" t="s">
        <v>308</v>
      </c>
      <c r="C462" s="55">
        <v>96</v>
      </c>
      <c r="D462" s="55">
        <v>43.2</v>
      </c>
      <c r="E462" s="28" t="s">
        <v>8</v>
      </c>
      <c r="F462" s="55"/>
      <c r="G462" s="29">
        <v>44652</v>
      </c>
      <c r="H462" s="30">
        <v>44926</v>
      </c>
    </row>
    <row r="463" spans="1:8" x14ac:dyDescent="0.2">
      <c r="A463" s="32">
        <v>560273</v>
      </c>
      <c r="B463" s="27" t="s">
        <v>1282</v>
      </c>
      <c r="C463" s="55">
        <v>94</v>
      </c>
      <c r="D463" s="55">
        <v>42.300000000000004</v>
      </c>
      <c r="E463" s="28" t="s">
        <v>8</v>
      </c>
      <c r="F463" s="55"/>
      <c r="G463" s="29">
        <v>44652</v>
      </c>
      <c r="H463" s="30">
        <v>44926</v>
      </c>
    </row>
    <row r="464" spans="1:8" x14ac:dyDescent="0.2">
      <c r="A464" s="32">
        <v>560274</v>
      </c>
      <c r="B464" s="27" t="s">
        <v>1281</v>
      </c>
      <c r="C464" s="55">
        <v>94</v>
      </c>
      <c r="D464" s="55">
        <v>42.300000000000004</v>
      </c>
      <c r="E464" s="28" t="s">
        <v>8</v>
      </c>
      <c r="F464" s="55"/>
      <c r="G464" s="29">
        <v>44652</v>
      </c>
      <c r="H464" s="30">
        <v>44926</v>
      </c>
    </row>
    <row r="465" spans="1:8" x14ac:dyDescent="0.2">
      <c r="A465" s="32">
        <v>560275</v>
      </c>
      <c r="B465" s="27" t="s">
        <v>1286</v>
      </c>
      <c r="C465" s="55">
        <v>91</v>
      </c>
      <c r="D465" s="55">
        <v>40.950000000000003</v>
      </c>
      <c r="E465" s="28" t="s">
        <v>8</v>
      </c>
      <c r="F465" s="55"/>
      <c r="G465" s="29">
        <v>44652</v>
      </c>
      <c r="H465" s="30">
        <v>44926</v>
      </c>
    </row>
    <row r="466" spans="1:8" x14ac:dyDescent="0.2">
      <c r="A466" s="32">
        <v>560276</v>
      </c>
      <c r="B466" s="27" t="s">
        <v>1285</v>
      </c>
      <c r="C466" s="55">
        <v>91</v>
      </c>
      <c r="D466" s="55">
        <v>40.950000000000003</v>
      </c>
      <c r="E466" s="28" t="s">
        <v>8</v>
      </c>
      <c r="F466" s="55"/>
      <c r="G466" s="29">
        <v>44652</v>
      </c>
      <c r="H466" s="30">
        <v>44926</v>
      </c>
    </row>
    <row r="467" spans="1:8" x14ac:dyDescent="0.2">
      <c r="A467" s="32">
        <v>560277</v>
      </c>
      <c r="B467" s="27" t="s">
        <v>1294</v>
      </c>
      <c r="C467" s="55">
        <v>86.646000000000001</v>
      </c>
      <c r="D467" s="55">
        <v>38.990700000000004</v>
      </c>
      <c r="E467" s="28" t="s">
        <v>8</v>
      </c>
      <c r="F467" s="55"/>
      <c r="G467" s="29">
        <v>44652</v>
      </c>
      <c r="H467" s="30">
        <v>44926</v>
      </c>
    </row>
    <row r="468" spans="1:8" x14ac:dyDescent="0.2">
      <c r="A468" s="32">
        <v>560278</v>
      </c>
      <c r="B468" s="27" t="s">
        <v>1291</v>
      </c>
      <c r="C468" s="55">
        <v>93</v>
      </c>
      <c r="D468" s="55">
        <v>41.85</v>
      </c>
      <c r="E468" s="28" t="s">
        <v>8</v>
      </c>
      <c r="F468" s="55"/>
      <c r="G468" s="29">
        <v>44652</v>
      </c>
      <c r="H468" s="30">
        <v>44926</v>
      </c>
    </row>
    <row r="469" spans="1:8" x14ac:dyDescent="0.2">
      <c r="A469" s="32">
        <v>560279</v>
      </c>
      <c r="B469" s="27" t="s">
        <v>309</v>
      </c>
      <c r="C469" s="55">
        <v>86.635500000000008</v>
      </c>
      <c r="D469" s="55">
        <v>38.985975000000003</v>
      </c>
      <c r="E469" s="28" t="s">
        <v>8</v>
      </c>
      <c r="F469" s="55"/>
      <c r="G469" s="29">
        <v>44652</v>
      </c>
      <c r="H469" s="30">
        <v>44926</v>
      </c>
    </row>
    <row r="470" spans="1:8" x14ac:dyDescent="0.2">
      <c r="A470" s="32">
        <v>560280</v>
      </c>
      <c r="B470" s="27" t="s">
        <v>310</v>
      </c>
      <c r="C470" s="55">
        <v>92</v>
      </c>
      <c r="D470" s="55">
        <v>41.4</v>
      </c>
      <c r="E470" s="28" t="s">
        <v>8</v>
      </c>
      <c r="F470" s="55"/>
      <c r="G470" s="29">
        <v>44652</v>
      </c>
      <c r="H470" s="30">
        <v>44926</v>
      </c>
    </row>
    <row r="471" spans="1:8" x14ac:dyDescent="0.2">
      <c r="A471" s="32">
        <v>560332</v>
      </c>
      <c r="B471" s="27" t="s">
        <v>311</v>
      </c>
      <c r="C471" s="55">
        <v>77.448000000000008</v>
      </c>
      <c r="D471" s="55">
        <v>34.851600000000005</v>
      </c>
      <c r="E471" s="28" t="s">
        <v>954</v>
      </c>
      <c r="F471" s="55">
        <v>32.411988000000008</v>
      </c>
      <c r="G471" s="29">
        <v>44652</v>
      </c>
      <c r="H471" s="30">
        <v>44926</v>
      </c>
    </row>
    <row r="472" spans="1:8" x14ac:dyDescent="0.2">
      <c r="A472" s="32">
        <v>560351</v>
      </c>
      <c r="B472" s="27" t="s">
        <v>312</v>
      </c>
      <c r="C472" s="55">
        <v>72.271500000000003</v>
      </c>
      <c r="D472" s="55">
        <v>32.522175000000004</v>
      </c>
      <c r="E472" s="28" t="s">
        <v>954</v>
      </c>
      <c r="F472" s="55">
        <v>30.245622750000006</v>
      </c>
      <c r="G472" s="29">
        <v>44652</v>
      </c>
      <c r="H472" s="30">
        <v>44926</v>
      </c>
    </row>
    <row r="473" spans="1:8" x14ac:dyDescent="0.2">
      <c r="A473" s="32">
        <v>560352</v>
      </c>
      <c r="B473" s="27" t="s">
        <v>313</v>
      </c>
      <c r="C473" s="55">
        <v>72.271500000000003</v>
      </c>
      <c r="D473" s="55">
        <v>32.522175000000004</v>
      </c>
      <c r="E473" s="28" t="s">
        <v>954</v>
      </c>
      <c r="F473" s="55">
        <v>30.245622750000006</v>
      </c>
      <c r="G473" s="29">
        <v>44652</v>
      </c>
      <c r="H473" s="30">
        <v>44926</v>
      </c>
    </row>
    <row r="474" spans="1:8" x14ac:dyDescent="0.2">
      <c r="A474" s="32">
        <v>560353</v>
      </c>
      <c r="B474" s="27" t="s">
        <v>312</v>
      </c>
      <c r="C474" s="55">
        <v>74.466000000000008</v>
      </c>
      <c r="D474" s="55">
        <v>33.509700000000002</v>
      </c>
      <c r="E474" s="28" t="s">
        <v>954</v>
      </c>
      <c r="F474" s="55">
        <v>31.164021000000005</v>
      </c>
      <c r="G474" s="29">
        <v>44652</v>
      </c>
      <c r="H474" s="30">
        <v>44926</v>
      </c>
    </row>
    <row r="475" spans="1:8" x14ac:dyDescent="0.2">
      <c r="A475" s="32">
        <v>560354</v>
      </c>
      <c r="B475" s="27" t="s">
        <v>313</v>
      </c>
      <c r="C475" s="55">
        <v>74.466000000000008</v>
      </c>
      <c r="D475" s="55">
        <v>33.509700000000002</v>
      </c>
      <c r="E475" s="28" t="s">
        <v>954</v>
      </c>
      <c r="F475" s="55">
        <v>31.164021000000005</v>
      </c>
      <c r="G475" s="29">
        <v>44652</v>
      </c>
      <c r="H475" s="30">
        <v>44926</v>
      </c>
    </row>
    <row r="476" spans="1:8" x14ac:dyDescent="0.2">
      <c r="A476" s="32">
        <v>560382</v>
      </c>
      <c r="B476" s="27" t="s">
        <v>314</v>
      </c>
      <c r="C476" s="55">
        <v>71.830500000000001</v>
      </c>
      <c r="D476" s="55">
        <v>32.323725000000003</v>
      </c>
      <c r="E476" s="28" t="s">
        <v>954</v>
      </c>
      <c r="F476" s="55">
        <v>30.061064250000005</v>
      </c>
      <c r="G476" s="29">
        <v>44652</v>
      </c>
      <c r="H476" s="30">
        <v>44926</v>
      </c>
    </row>
    <row r="477" spans="1:8" x14ac:dyDescent="0.2">
      <c r="A477" s="32">
        <v>570021</v>
      </c>
      <c r="B477" s="27" t="s">
        <v>315</v>
      </c>
      <c r="C477" s="55">
        <v>32.700000000000003</v>
      </c>
      <c r="D477" s="55">
        <v>14.715000000000002</v>
      </c>
      <c r="E477" s="28" t="s">
        <v>954</v>
      </c>
      <c r="F477" s="55">
        <v>13.684950000000002</v>
      </c>
      <c r="G477" s="29">
        <v>44652</v>
      </c>
      <c r="H477" s="30">
        <v>44926</v>
      </c>
    </row>
    <row r="478" spans="1:8" x14ac:dyDescent="0.2">
      <c r="A478" s="32">
        <v>570023</v>
      </c>
      <c r="B478" s="27" t="s">
        <v>315</v>
      </c>
      <c r="C478" s="55">
        <v>33.1</v>
      </c>
      <c r="D478" s="55">
        <v>14.895000000000001</v>
      </c>
      <c r="E478" s="28" t="s">
        <v>954</v>
      </c>
      <c r="F478" s="55">
        <v>13.852350000000001</v>
      </c>
      <c r="G478" s="29">
        <v>44652</v>
      </c>
      <c r="H478" s="30">
        <v>44926</v>
      </c>
    </row>
    <row r="479" spans="1:8" x14ac:dyDescent="0.2">
      <c r="A479" s="32">
        <v>570024</v>
      </c>
      <c r="B479" s="27" t="s">
        <v>316</v>
      </c>
      <c r="C479" s="55">
        <v>29.5</v>
      </c>
      <c r="D479" s="55">
        <v>13.275</v>
      </c>
      <c r="E479" s="28" t="s">
        <v>954</v>
      </c>
      <c r="F479" s="55">
        <v>12.345750000000001</v>
      </c>
      <c r="G479" s="29">
        <v>44652</v>
      </c>
      <c r="H479" s="30">
        <v>44926</v>
      </c>
    </row>
    <row r="480" spans="1:8" x14ac:dyDescent="0.2">
      <c r="A480" s="32">
        <v>570025</v>
      </c>
      <c r="B480" s="27" t="s">
        <v>317</v>
      </c>
      <c r="C480" s="55">
        <v>27.88</v>
      </c>
      <c r="D480" s="55">
        <v>12.545999999999999</v>
      </c>
      <c r="E480" s="28" t="s">
        <v>954</v>
      </c>
      <c r="F480" s="55">
        <v>11.66778</v>
      </c>
      <c r="G480" s="29">
        <v>44652</v>
      </c>
      <c r="H480" s="30">
        <v>44926</v>
      </c>
    </row>
    <row r="481" spans="1:8" x14ac:dyDescent="0.2">
      <c r="A481" s="32">
        <v>570026</v>
      </c>
      <c r="B481" s="27" t="s">
        <v>318</v>
      </c>
      <c r="C481" s="55">
        <v>43.5</v>
      </c>
      <c r="D481" s="55">
        <v>19.574999999999999</v>
      </c>
      <c r="E481" s="28" t="s">
        <v>954</v>
      </c>
      <c r="F481" s="55">
        <v>18.204750000000001</v>
      </c>
      <c r="G481" s="29">
        <v>44652</v>
      </c>
      <c r="H481" s="30">
        <v>44926</v>
      </c>
    </row>
    <row r="482" spans="1:8" x14ac:dyDescent="0.2">
      <c r="A482" s="32">
        <v>570027</v>
      </c>
      <c r="B482" s="27" t="s">
        <v>319</v>
      </c>
      <c r="C482" s="55">
        <v>15.256500000000001</v>
      </c>
      <c r="D482" s="55">
        <v>6.8654250000000001</v>
      </c>
      <c r="E482" s="28"/>
      <c r="F482" s="55">
        <v>6.3848452500000006</v>
      </c>
      <c r="G482" s="29">
        <v>44652</v>
      </c>
      <c r="H482" s="30">
        <v>44926</v>
      </c>
    </row>
    <row r="483" spans="1:8" x14ac:dyDescent="0.2">
      <c r="A483" s="32">
        <v>570032</v>
      </c>
      <c r="B483" s="27" t="s">
        <v>320</v>
      </c>
      <c r="C483" s="55">
        <v>61.257000000000005</v>
      </c>
      <c r="D483" s="55">
        <v>27.565650000000002</v>
      </c>
      <c r="E483" s="28" t="s">
        <v>954</v>
      </c>
      <c r="F483" s="55">
        <v>25.636054500000004</v>
      </c>
      <c r="G483" s="29">
        <v>44652</v>
      </c>
      <c r="H483" s="30">
        <v>44926</v>
      </c>
    </row>
    <row r="484" spans="1:8" x14ac:dyDescent="0.2">
      <c r="A484" s="32">
        <v>570033</v>
      </c>
      <c r="B484" s="27" t="s">
        <v>320</v>
      </c>
      <c r="C484" s="55">
        <v>66.423000000000002</v>
      </c>
      <c r="D484" s="55">
        <v>29.890350000000002</v>
      </c>
      <c r="E484" s="28" t="s">
        <v>954</v>
      </c>
      <c r="F484" s="55">
        <v>27.798025500000001</v>
      </c>
      <c r="G484" s="29">
        <v>44652</v>
      </c>
      <c r="H484" s="30">
        <v>44926</v>
      </c>
    </row>
    <row r="485" spans="1:8" x14ac:dyDescent="0.2">
      <c r="A485" s="32">
        <v>570034</v>
      </c>
      <c r="B485" s="27" t="s">
        <v>321</v>
      </c>
      <c r="C485" s="55">
        <v>36.299999999999997</v>
      </c>
      <c r="D485" s="55">
        <v>16.335000000000001</v>
      </c>
      <c r="E485" s="28" t="s">
        <v>954</v>
      </c>
      <c r="F485" s="55">
        <v>15.191550000000001</v>
      </c>
      <c r="G485" s="29">
        <v>44652</v>
      </c>
      <c r="H485" s="30">
        <v>44926</v>
      </c>
    </row>
    <row r="486" spans="1:8" x14ac:dyDescent="0.2">
      <c r="A486" s="32">
        <v>570035</v>
      </c>
      <c r="B486" s="27" t="s">
        <v>1051</v>
      </c>
      <c r="C486" s="55">
        <v>35.869999999999997</v>
      </c>
      <c r="D486" s="55">
        <v>16.141500000000001</v>
      </c>
      <c r="E486" s="28" t="s">
        <v>954</v>
      </c>
      <c r="F486" s="55">
        <v>15.011595000000002</v>
      </c>
      <c r="G486" s="29">
        <v>44652</v>
      </c>
      <c r="H486" s="30">
        <v>44926</v>
      </c>
    </row>
    <row r="487" spans="1:8" x14ac:dyDescent="0.2">
      <c r="A487" s="32">
        <v>570036</v>
      </c>
      <c r="B487" s="27" t="s">
        <v>322</v>
      </c>
      <c r="C487" s="55">
        <v>32.200000000000003</v>
      </c>
      <c r="D487" s="55">
        <v>14.490000000000002</v>
      </c>
      <c r="E487" s="28" t="s">
        <v>954</v>
      </c>
      <c r="F487" s="55">
        <v>13.475700000000003</v>
      </c>
      <c r="G487" s="29">
        <v>44652</v>
      </c>
      <c r="H487" s="30">
        <v>44926</v>
      </c>
    </row>
    <row r="488" spans="1:8" x14ac:dyDescent="0.2">
      <c r="A488" s="32">
        <v>570037</v>
      </c>
      <c r="B488" s="27" t="s">
        <v>319</v>
      </c>
      <c r="C488" s="55">
        <v>20.399999999999999</v>
      </c>
      <c r="D488" s="55">
        <v>9.18</v>
      </c>
      <c r="E488" s="28" t="s">
        <v>954</v>
      </c>
      <c r="F488" s="55">
        <v>8.5373999999999999</v>
      </c>
      <c r="G488" s="29">
        <v>44652</v>
      </c>
      <c r="H488" s="30">
        <v>44926</v>
      </c>
    </row>
    <row r="489" spans="1:8" x14ac:dyDescent="0.2">
      <c r="A489" s="32">
        <v>570038</v>
      </c>
      <c r="B489" s="27" t="s">
        <v>319</v>
      </c>
      <c r="C489" s="55">
        <v>50.8</v>
      </c>
      <c r="D489" s="55">
        <v>22.86</v>
      </c>
      <c r="E489" s="28" t="s">
        <v>954</v>
      </c>
      <c r="F489" s="55">
        <v>21.259800000000002</v>
      </c>
      <c r="G489" s="29">
        <v>44652</v>
      </c>
      <c r="H489" s="30">
        <v>44926</v>
      </c>
    </row>
    <row r="490" spans="1:8" x14ac:dyDescent="0.2">
      <c r="A490" s="32">
        <v>570039</v>
      </c>
      <c r="B490" s="27" t="s">
        <v>323</v>
      </c>
      <c r="C490" s="55">
        <v>79.663500000000013</v>
      </c>
      <c r="D490" s="55">
        <v>35.848575000000004</v>
      </c>
      <c r="E490" s="28" t="s">
        <v>8</v>
      </c>
      <c r="F490" s="55"/>
      <c r="G490" s="29">
        <v>44652</v>
      </c>
      <c r="H490" s="30">
        <v>44926</v>
      </c>
    </row>
    <row r="491" spans="1:8" x14ac:dyDescent="0.2">
      <c r="A491" s="32">
        <v>570221</v>
      </c>
      <c r="B491" s="27" t="s">
        <v>324</v>
      </c>
      <c r="C491" s="55">
        <v>42.5</v>
      </c>
      <c r="D491" s="55">
        <v>19.125</v>
      </c>
      <c r="E491" s="28" t="s">
        <v>954</v>
      </c>
      <c r="F491" s="55">
        <v>17.786250000000003</v>
      </c>
      <c r="G491" s="29">
        <v>44652</v>
      </c>
      <c r="H491" s="30">
        <v>44926</v>
      </c>
    </row>
    <row r="492" spans="1:8" x14ac:dyDescent="0.2">
      <c r="A492" s="32">
        <v>570222</v>
      </c>
      <c r="B492" s="27" t="s">
        <v>325</v>
      </c>
      <c r="C492" s="55">
        <v>36.1</v>
      </c>
      <c r="D492" s="55">
        <v>16.245000000000001</v>
      </c>
      <c r="E492" s="28" t="s">
        <v>954</v>
      </c>
      <c r="F492" s="55">
        <v>15.107850000000001</v>
      </c>
      <c r="G492" s="29">
        <v>44652</v>
      </c>
      <c r="H492" s="30">
        <v>44926</v>
      </c>
    </row>
    <row r="493" spans="1:8" x14ac:dyDescent="0.2">
      <c r="A493" s="32">
        <v>570223</v>
      </c>
      <c r="B493" s="27" t="s">
        <v>326</v>
      </c>
      <c r="C493" s="55">
        <v>37.4</v>
      </c>
      <c r="D493" s="55">
        <v>16.829999999999998</v>
      </c>
      <c r="E493" s="28" t="s">
        <v>954</v>
      </c>
      <c r="F493" s="55">
        <v>15.651899999999999</v>
      </c>
      <c r="G493" s="29">
        <v>44652</v>
      </c>
      <c r="H493" s="30">
        <v>44926</v>
      </c>
    </row>
    <row r="494" spans="1:8" x14ac:dyDescent="0.2">
      <c r="A494" s="32">
        <v>570224</v>
      </c>
      <c r="B494" s="27" t="s">
        <v>327</v>
      </c>
      <c r="C494" s="55">
        <v>37.5</v>
      </c>
      <c r="D494" s="55">
        <v>16.875</v>
      </c>
      <c r="E494" s="28" t="s">
        <v>954</v>
      </c>
      <c r="F494" s="55">
        <v>15.693750000000001</v>
      </c>
      <c r="G494" s="29">
        <v>44652</v>
      </c>
      <c r="H494" s="30">
        <v>44926</v>
      </c>
    </row>
    <row r="495" spans="1:8" x14ac:dyDescent="0.2">
      <c r="A495" s="32">
        <v>570230</v>
      </c>
      <c r="B495" s="27" t="s">
        <v>328</v>
      </c>
      <c r="C495" s="55">
        <v>144</v>
      </c>
      <c r="D495" s="55">
        <v>64.8</v>
      </c>
      <c r="E495" s="28"/>
      <c r="F495" s="55">
        <v>60.264000000000003</v>
      </c>
      <c r="G495" s="29">
        <v>44652</v>
      </c>
      <c r="H495" s="30">
        <v>44926</v>
      </c>
    </row>
    <row r="496" spans="1:8" x14ac:dyDescent="0.2">
      <c r="A496" s="32">
        <v>570234</v>
      </c>
      <c r="B496" s="27" t="s">
        <v>329</v>
      </c>
      <c r="C496" s="55">
        <v>54.831000000000003</v>
      </c>
      <c r="D496" s="55">
        <v>24.673950000000001</v>
      </c>
      <c r="E496" s="28"/>
      <c r="F496" s="55">
        <v>22.946773500000003</v>
      </c>
      <c r="G496" s="29">
        <v>44652</v>
      </c>
      <c r="H496" s="30">
        <v>44926</v>
      </c>
    </row>
    <row r="497" spans="1:8" x14ac:dyDescent="0.2">
      <c r="A497" s="32">
        <v>570235</v>
      </c>
      <c r="B497" s="27" t="s">
        <v>330</v>
      </c>
      <c r="C497" s="55">
        <v>54.831000000000003</v>
      </c>
      <c r="D497" s="55">
        <v>24.673950000000001</v>
      </c>
      <c r="E497" s="28" t="s">
        <v>954</v>
      </c>
      <c r="F497" s="55">
        <v>22.946773500000003</v>
      </c>
      <c r="G497" s="29">
        <v>44652</v>
      </c>
      <c r="H497" s="30">
        <v>44926</v>
      </c>
    </row>
    <row r="498" spans="1:8" x14ac:dyDescent="0.2">
      <c r="A498" s="32">
        <v>570239</v>
      </c>
      <c r="B498" s="27" t="s">
        <v>331</v>
      </c>
      <c r="C498" s="55">
        <v>53.991000000000007</v>
      </c>
      <c r="D498" s="55">
        <v>24.295950000000005</v>
      </c>
      <c r="E498" s="28"/>
      <c r="F498" s="55">
        <v>22.595233500000006</v>
      </c>
      <c r="G498" s="29">
        <v>44652</v>
      </c>
      <c r="H498" s="30">
        <v>44926</v>
      </c>
    </row>
    <row r="499" spans="1:8" x14ac:dyDescent="0.2">
      <c r="A499" s="32">
        <v>570240</v>
      </c>
      <c r="B499" s="27" t="s">
        <v>1052</v>
      </c>
      <c r="C499" s="55">
        <v>53.991000000000007</v>
      </c>
      <c r="D499" s="55">
        <v>24.295950000000005</v>
      </c>
      <c r="E499" s="28" t="s">
        <v>954</v>
      </c>
      <c r="F499" s="55">
        <v>22.595233500000006</v>
      </c>
      <c r="G499" s="29">
        <v>44652</v>
      </c>
      <c r="H499" s="30">
        <v>44926</v>
      </c>
    </row>
    <row r="500" spans="1:8" x14ac:dyDescent="0.2">
      <c r="A500" s="32">
        <v>570325</v>
      </c>
      <c r="B500" s="27" t="s">
        <v>332</v>
      </c>
      <c r="C500" s="55">
        <v>72.985500000000002</v>
      </c>
      <c r="D500" s="55">
        <v>32.843475000000005</v>
      </c>
      <c r="E500" s="28" t="s">
        <v>954</v>
      </c>
      <c r="F500" s="55">
        <v>30.544431750000005</v>
      </c>
      <c r="G500" s="29">
        <v>44652</v>
      </c>
      <c r="H500" s="30">
        <v>44926</v>
      </c>
    </row>
    <row r="501" spans="1:8" x14ac:dyDescent="0.2">
      <c r="A501" s="32">
        <v>570326</v>
      </c>
      <c r="B501" s="27" t="s">
        <v>333</v>
      </c>
      <c r="C501" s="55">
        <v>87.349500000000006</v>
      </c>
      <c r="D501" s="55">
        <v>39.307275000000004</v>
      </c>
      <c r="E501" s="28" t="s">
        <v>954</v>
      </c>
      <c r="F501" s="55">
        <v>36.555765750000006</v>
      </c>
      <c r="G501" s="29">
        <v>44652</v>
      </c>
      <c r="H501" s="30">
        <v>44926</v>
      </c>
    </row>
    <row r="502" spans="1:8" x14ac:dyDescent="0.2">
      <c r="A502" s="32">
        <v>570335</v>
      </c>
      <c r="B502" s="27" t="s">
        <v>334</v>
      </c>
      <c r="C502" s="55">
        <v>75.915000000000006</v>
      </c>
      <c r="D502" s="55">
        <v>34.161750000000005</v>
      </c>
      <c r="E502" s="28" t="s">
        <v>954</v>
      </c>
      <c r="F502" s="55">
        <v>31.770427500000007</v>
      </c>
      <c r="G502" s="29">
        <v>44652</v>
      </c>
      <c r="H502" s="30">
        <v>44926</v>
      </c>
    </row>
    <row r="503" spans="1:8" x14ac:dyDescent="0.2">
      <c r="A503" s="32">
        <v>570340</v>
      </c>
      <c r="B503" s="27" t="s">
        <v>1319</v>
      </c>
      <c r="C503" s="55">
        <v>72.985500000000002</v>
      </c>
      <c r="D503" s="55">
        <v>32.843475000000005</v>
      </c>
      <c r="E503" s="28" t="s">
        <v>954</v>
      </c>
      <c r="F503" s="55">
        <v>30.544431750000005</v>
      </c>
      <c r="G503" s="29">
        <v>44652</v>
      </c>
      <c r="H503" s="30">
        <v>44926</v>
      </c>
    </row>
    <row r="504" spans="1:8" x14ac:dyDescent="0.2">
      <c r="A504" s="32">
        <v>570342</v>
      </c>
      <c r="B504" s="27" t="s">
        <v>335</v>
      </c>
      <c r="C504" s="55">
        <v>75.915000000000006</v>
      </c>
      <c r="D504" s="55">
        <v>34.161750000000005</v>
      </c>
      <c r="E504" s="28" t="s">
        <v>954</v>
      </c>
      <c r="F504" s="55">
        <v>31.770427500000007</v>
      </c>
      <c r="G504" s="29">
        <v>44652</v>
      </c>
      <c r="H504" s="30">
        <v>44926</v>
      </c>
    </row>
    <row r="505" spans="1:8" x14ac:dyDescent="0.2">
      <c r="A505" s="32">
        <v>570344</v>
      </c>
      <c r="B505" s="27" t="s">
        <v>336</v>
      </c>
      <c r="C505" s="55">
        <v>81.973500000000001</v>
      </c>
      <c r="D505" s="55">
        <v>36.888075000000001</v>
      </c>
      <c r="E505" s="28" t="s">
        <v>954</v>
      </c>
      <c r="F505" s="55">
        <v>34.305909750000005</v>
      </c>
      <c r="G505" s="29">
        <v>44652</v>
      </c>
      <c r="H505" s="30">
        <v>44926</v>
      </c>
    </row>
    <row r="506" spans="1:8" x14ac:dyDescent="0.2">
      <c r="A506" s="32">
        <v>600011</v>
      </c>
      <c r="B506" s="27" t="s">
        <v>337</v>
      </c>
      <c r="C506" s="55">
        <v>28.3</v>
      </c>
      <c r="D506" s="55">
        <v>12.735000000000001</v>
      </c>
      <c r="E506" s="28" t="s">
        <v>954</v>
      </c>
      <c r="F506" s="55">
        <v>11.843550000000002</v>
      </c>
      <c r="G506" s="29">
        <v>44652</v>
      </c>
      <c r="H506" s="30">
        <v>44926</v>
      </c>
    </row>
    <row r="507" spans="1:8" x14ac:dyDescent="0.2">
      <c r="A507" s="32">
        <v>600012</v>
      </c>
      <c r="B507" s="27" t="s">
        <v>338</v>
      </c>
      <c r="C507" s="55">
        <v>28.27</v>
      </c>
      <c r="D507" s="55">
        <v>12.721500000000001</v>
      </c>
      <c r="E507" s="28" t="s">
        <v>954</v>
      </c>
      <c r="F507" s="55">
        <v>11.830995000000001</v>
      </c>
      <c r="G507" s="29">
        <v>44652</v>
      </c>
      <c r="H507" s="30">
        <v>44926</v>
      </c>
    </row>
    <row r="508" spans="1:8" x14ac:dyDescent="0.2">
      <c r="A508" s="32">
        <v>600013</v>
      </c>
      <c r="B508" s="27" t="s">
        <v>339</v>
      </c>
      <c r="C508" s="55">
        <v>48.55</v>
      </c>
      <c r="D508" s="55">
        <v>21.8475</v>
      </c>
      <c r="E508" s="28" t="s">
        <v>954</v>
      </c>
      <c r="F508" s="55">
        <v>20.318175</v>
      </c>
      <c r="G508" s="29">
        <v>44652</v>
      </c>
      <c r="H508" s="30">
        <v>44926</v>
      </c>
    </row>
    <row r="509" spans="1:8" x14ac:dyDescent="0.2">
      <c r="A509" s="32">
        <v>600014</v>
      </c>
      <c r="B509" s="27" t="s">
        <v>340</v>
      </c>
      <c r="C509" s="55">
        <v>48.55</v>
      </c>
      <c r="D509" s="55">
        <v>21.8475</v>
      </c>
      <c r="E509" s="28" t="s">
        <v>954</v>
      </c>
      <c r="F509" s="55">
        <v>20.318175</v>
      </c>
      <c r="G509" s="29">
        <v>44652</v>
      </c>
      <c r="H509" s="30">
        <v>44926</v>
      </c>
    </row>
    <row r="510" spans="1:8" x14ac:dyDescent="0.2">
      <c r="A510" s="32">
        <v>600211</v>
      </c>
      <c r="B510" s="27" t="s">
        <v>341</v>
      </c>
      <c r="C510" s="55">
        <v>48.2</v>
      </c>
      <c r="D510" s="55">
        <v>21.69</v>
      </c>
      <c r="E510" s="28" t="s">
        <v>954</v>
      </c>
      <c r="F510" s="55">
        <v>20.171700000000001</v>
      </c>
      <c r="G510" s="29">
        <v>44652</v>
      </c>
      <c r="H510" s="30">
        <v>44926</v>
      </c>
    </row>
    <row r="511" spans="1:8" x14ac:dyDescent="0.2">
      <c r="A511" s="32">
        <v>600212</v>
      </c>
      <c r="B511" s="27" t="s">
        <v>342</v>
      </c>
      <c r="C511" s="55">
        <v>46.4</v>
      </c>
      <c r="D511" s="55">
        <v>20.88</v>
      </c>
      <c r="E511" s="28" t="s">
        <v>954</v>
      </c>
      <c r="F511" s="55">
        <v>19.418399999999998</v>
      </c>
      <c r="G511" s="29">
        <v>44652</v>
      </c>
      <c r="H511" s="30">
        <v>44926</v>
      </c>
    </row>
    <row r="512" spans="1:8" x14ac:dyDescent="0.2">
      <c r="A512" s="32">
        <v>600213</v>
      </c>
      <c r="B512" s="27" t="s">
        <v>1314</v>
      </c>
      <c r="C512" s="55">
        <v>82.4</v>
      </c>
      <c r="D512" s="55">
        <v>37.080000000000005</v>
      </c>
      <c r="E512" s="28" t="s">
        <v>954</v>
      </c>
      <c r="F512" s="55">
        <v>34.484400000000008</v>
      </c>
      <c r="G512" s="29">
        <v>44652</v>
      </c>
      <c r="H512" s="30">
        <v>44926</v>
      </c>
    </row>
    <row r="513" spans="1:8" x14ac:dyDescent="0.2">
      <c r="A513" s="32">
        <v>600214</v>
      </c>
      <c r="B513" s="27" t="s">
        <v>1315</v>
      </c>
      <c r="C513" s="55">
        <v>78</v>
      </c>
      <c r="D513" s="55">
        <v>35.1</v>
      </c>
      <c r="E513" s="28" t="s">
        <v>954</v>
      </c>
      <c r="F513" s="55">
        <v>32.643000000000001</v>
      </c>
      <c r="G513" s="29">
        <v>44652</v>
      </c>
      <c r="H513" s="30">
        <v>44926</v>
      </c>
    </row>
    <row r="514" spans="1:8" x14ac:dyDescent="0.2">
      <c r="A514" s="32">
        <v>650001</v>
      </c>
      <c r="B514" s="27" t="s">
        <v>343</v>
      </c>
      <c r="C514" s="55">
        <v>19.899999999999999</v>
      </c>
      <c r="D514" s="55">
        <v>8.9550000000000001</v>
      </c>
      <c r="E514" s="28" t="s">
        <v>954</v>
      </c>
      <c r="F514" s="55">
        <v>8.3281500000000008</v>
      </c>
      <c r="G514" s="29">
        <v>44652</v>
      </c>
      <c r="H514" s="30">
        <v>44926</v>
      </c>
    </row>
    <row r="515" spans="1:8" x14ac:dyDescent="0.2">
      <c r="A515" s="32">
        <v>650002</v>
      </c>
      <c r="B515" s="27" t="s">
        <v>344</v>
      </c>
      <c r="C515" s="55">
        <v>21.19</v>
      </c>
      <c r="D515" s="55">
        <v>9.5355000000000008</v>
      </c>
      <c r="E515" s="28" t="s">
        <v>954</v>
      </c>
      <c r="F515" s="55">
        <v>8.8680150000000015</v>
      </c>
      <c r="G515" s="29">
        <v>44652</v>
      </c>
      <c r="H515" s="30">
        <v>44926</v>
      </c>
    </row>
    <row r="516" spans="1:8" x14ac:dyDescent="0.2">
      <c r="A516" s="32">
        <v>650007</v>
      </c>
      <c r="B516" s="27" t="s">
        <v>345</v>
      </c>
      <c r="C516" s="55">
        <v>22</v>
      </c>
      <c r="D516" s="55">
        <v>9.9</v>
      </c>
      <c r="E516" s="28" t="s">
        <v>954</v>
      </c>
      <c r="F516" s="55">
        <v>9.2070000000000007</v>
      </c>
      <c r="G516" s="29">
        <v>44652</v>
      </c>
      <c r="H516" s="30">
        <v>44926</v>
      </c>
    </row>
    <row r="517" spans="1:8" x14ac:dyDescent="0.2">
      <c r="A517" s="32">
        <v>650008</v>
      </c>
      <c r="B517" s="27" t="s">
        <v>346</v>
      </c>
      <c r="C517" s="55">
        <v>27.7</v>
      </c>
      <c r="D517" s="55">
        <v>12.465</v>
      </c>
      <c r="E517" s="28" t="s">
        <v>954</v>
      </c>
      <c r="F517" s="55">
        <v>11.592450000000001</v>
      </c>
      <c r="G517" s="29">
        <v>44652</v>
      </c>
      <c r="H517" s="30">
        <v>44926</v>
      </c>
    </row>
    <row r="518" spans="1:8" x14ac:dyDescent="0.2">
      <c r="A518" s="32">
        <v>650019</v>
      </c>
      <c r="B518" s="27" t="s">
        <v>54</v>
      </c>
      <c r="C518" s="55">
        <v>40</v>
      </c>
      <c r="D518" s="55">
        <v>18</v>
      </c>
      <c r="E518" s="28" t="s">
        <v>8</v>
      </c>
      <c r="F518" s="55"/>
      <c r="G518" s="29">
        <v>44652</v>
      </c>
      <c r="H518" s="30">
        <v>44926</v>
      </c>
    </row>
    <row r="519" spans="1:8" x14ac:dyDescent="0.2">
      <c r="A519" s="32">
        <v>650020</v>
      </c>
      <c r="B519" s="27" t="s">
        <v>55</v>
      </c>
      <c r="C519" s="55">
        <v>36.5</v>
      </c>
      <c r="D519" s="55">
        <v>16.425000000000001</v>
      </c>
      <c r="E519" s="28" t="s">
        <v>8</v>
      </c>
      <c r="F519" s="55"/>
      <c r="G519" s="29">
        <v>44652</v>
      </c>
      <c r="H519" s="30">
        <v>44926</v>
      </c>
    </row>
    <row r="520" spans="1:8" x14ac:dyDescent="0.2">
      <c r="A520" s="32">
        <v>650021</v>
      </c>
      <c r="B520" s="27" t="s">
        <v>56</v>
      </c>
      <c r="C520" s="55">
        <v>45</v>
      </c>
      <c r="D520" s="55">
        <v>20.25</v>
      </c>
      <c r="E520" s="28" t="s">
        <v>8</v>
      </c>
      <c r="F520" s="55"/>
      <c r="G520" s="29">
        <v>44652</v>
      </c>
      <c r="H520" s="30">
        <v>44926</v>
      </c>
    </row>
    <row r="521" spans="1:8" x14ac:dyDescent="0.2">
      <c r="A521" s="32">
        <v>650022</v>
      </c>
      <c r="B521" s="27" t="s">
        <v>1084</v>
      </c>
      <c r="C521" s="55">
        <v>39</v>
      </c>
      <c r="D521" s="55">
        <v>17.55</v>
      </c>
      <c r="E521" s="28" t="s">
        <v>8</v>
      </c>
      <c r="F521" s="55"/>
      <c r="G521" s="29">
        <v>44652</v>
      </c>
      <c r="H521" s="30">
        <v>44926</v>
      </c>
    </row>
    <row r="522" spans="1:8" x14ac:dyDescent="0.2">
      <c r="A522" s="32">
        <v>650201</v>
      </c>
      <c r="B522" s="27" t="s">
        <v>347</v>
      </c>
      <c r="C522" s="55">
        <v>36.823500000000003</v>
      </c>
      <c r="D522" s="55">
        <v>16.570575000000002</v>
      </c>
      <c r="E522" s="28" t="s">
        <v>954</v>
      </c>
      <c r="F522" s="55">
        <v>15.410634750000002</v>
      </c>
      <c r="G522" s="29">
        <v>44652</v>
      </c>
      <c r="H522" s="30">
        <v>44926</v>
      </c>
    </row>
    <row r="523" spans="1:8" x14ac:dyDescent="0.2">
      <c r="A523" s="32">
        <v>650202</v>
      </c>
      <c r="B523" s="27" t="s">
        <v>348</v>
      </c>
      <c r="C523" s="55">
        <v>36.823500000000003</v>
      </c>
      <c r="D523" s="55">
        <v>16.570575000000002</v>
      </c>
      <c r="E523" s="28" t="s">
        <v>954</v>
      </c>
      <c r="F523" s="55">
        <v>15.410634750000002</v>
      </c>
      <c r="G523" s="29">
        <v>44652</v>
      </c>
      <c r="H523" s="30">
        <v>44926</v>
      </c>
    </row>
    <row r="524" spans="1:8" x14ac:dyDescent="0.2">
      <c r="A524" s="32">
        <v>650207</v>
      </c>
      <c r="B524" s="27" t="s">
        <v>349</v>
      </c>
      <c r="C524" s="55">
        <v>35.910000000000004</v>
      </c>
      <c r="D524" s="55">
        <v>16.159500000000001</v>
      </c>
      <c r="E524" s="28" t="s">
        <v>954</v>
      </c>
      <c r="F524" s="55">
        <v>15.028335000000002</v>
      </c>
      <c r="G524" s="29">
        <v>44652</v>
      </c>
      <c r="H524" s="30">
        <v>44926</v>
      </c>
    </row>
    <row r="525" spans="1:8" x14ac:dyDescent="0.2">
      <c r="A525" s="32">
        <v>650208</v>
      </c>
      <c r="B525" s="27" t="s">
        <v>350</v>
      </c>
      <c r="C525" s="55">
        <v>35.910000000000004</v>
      </c>
      <c r="D525" s="55">
        <v>16.159500000000001</v>
      </c>
      <c r="E525" s="28" t="s">
        <v>954</v>
      </c>
      <c r="F525" s="55">
        <v>15.028335000000002</v>
      </c>
      <c r="G525" s="29">
        <v>44652</v>
      </c>
      <c r="H525" s="30">
        <v>44926</v>
      </c>
    </row>
    <row r="526" spans="1:8" x14ac:dyDescent="0.2">
      <c r="A526" s="32">
        <v>650219</v>
      </c>
      <c r="B526" s="27" t="s">
        <v>62</v>
      </c>
      <c r="C526" s="55">
        <v>48.25</v>
      </c>
      <c r="D526" s="55">
        <v>21.712500000000002</v>
      </c>
      <c r="E526" s="28" t="s">
        <v>8</v>
      </c>
      <c r="F526" s="55"/>
      <c r="G526" s="29">
        <v>44652</v>
      </c>
      <c r="H526" s="30">
        <v>44926</v>
      </c>
    </row>
    <row r="527" spans="1:8" x14ac:dyDescent="0.2">
      <c r="A527" s="32">
        <v>650220</v>
      </c>
      <c r="B527" s="27" t="s">
        <v>63</v>
      </c>
      <c r="C527" s="55">
        <v>51.25</v>
      </c>
      <c r="D527" s="55">
        <v>23.0625</v>
      </c>
      <c r="E527" s="28" t="s">
        <v>8</v>
      </c>
      <c r="F527" s="55"/>
      <c r="G527" s="29">
        <v>44652</v>
      </c>
      <c r="H527" s="30">
        <v>44926</v>
      </c>
    </row>
    <row r="528" spans="1:8" x14ac:dyDescent="0.2">
      <c r="A528" s="32">
        <v>650221</v>
      </c>
      <c r="B528" s="27" t="s">
        <v>64</v>
      </c>
      <c r="C528" s="55">
        <v>50.5</v>
      </c>
      <c r="D528" s="55">
        <v>22.725000000000001</v>
      </c>
      <c r="E528" s="28" t="s">
        <v>8</v>
      </c>
      <c r="F528" s="55"/>
      <c r="G528" s="29">
        <v>44652</v>
      </c>
      <c r="H528" s="30">
        <v>44926</v>
      </c>
    </row>
    <row r="529" spans="1:8" x14ac:dyDescent="0.2">
      <c r="A529" s="32">
        <v>650222</v>
      </c>
      <c r="B529" s="27" t="s">
        <v>65</v>
      </c>
      <c r="C529" s="55">
        <v>49</v>
      </c>
      <c r="D529" s="55">
        <v>22.05</v>
      </c>
      <c r="E529" s="28" t="s">
        <v>8</v>
      </c>
      <c r="F529" s="55"/>
      <c r="G529" s="29">
        <v>44652</v>
      </c>
      <c r="H529" s="30">
        <v>44926</v>
      </c>
    </row>
    <row r="530" spans="1:8" x14ac:dyDescent="0.2">
      <c r="A530" s="32">
        <v>650228</v>
      </c>
      <c r="B530" s="27" t="s">
        <v>1312</v>
      </c>
      <c r="C530" s="55">
        <v>41.265000000000001</v>
      </c>
      <c r="D530" s="55">
        <v>18.56925</v>
      </c>
      <c r="E530" s="28" t="s">
        <v>8</v>
      </c>
      <c r="F530" s="55"/>
      <c r="G530" s="29">
        <v>44652</v>
      </c>
      <c r="H530" s="30">
        <v>44926</v>
      </c>
    </row>
    <row r="531" spans="1:8" x14ac:dyDescent="0.2">
      <c r="A531" s="32">
        <v>650231</v>
      </c>
      <c r="B531" s="27" t="s">
        <v>351</v>
      </c>
      <c r="C531" s="55">
        <v>43.3</v>
      </c>
      <c r="D531" s="55">
        <v>19.484999999999999</v>
      </c>
      <c r="E531" s="28" t="s">
        <v>954</v>
      </c>
      <c r="F531" s="55">
        <v>18.12105</v>
      </c>
      <c r="G531" s="29">
        <v>44652</v>
      </c>
      <c r="H531" s="30">
        <v>44926</v>
      </c>
    </row>
    <row r="532" spans="1:8" x14ac:dyDescent="0.2">
      <c r="A532" s="32">
        <v>651208</v>
      </c>
      <c r="B532" s="27" t="s">
        <v>352</v>
      </c>
      <c r="C532" s="55">
        <v>38.829000000000001</v>
      </c>
      <c r="D532" s="55">
        <v>17.473050000000001</v>
      </c>
      <c r="E532" s="28" t="s">
        <v>954</v>
      </c>
      <c r="F532" s="55">
        <v>16.2499365</v>
      </c>
      <c r="G532" s="29">
        <v>44652</v>
      </c>
      <c r="H532" s="30">
        <v>44926</v>
      </c>
    </row>
    <row r="533" spans="1:8" x14ac:dyDescent="0.2">
      <c r="A533" s="32">
        <v>660001</v>
      </c>
      <c r="B533" s="27" t="s">
        <v>226</v>
      </c>
      <c r="C533" s="55">
        <v>23.110500000000002</v>
      </c>
      <c r="D533" s="55">
        <v>10.399725000000002</v>
      </c>
      <c r="E533" s="28" t="s">
        <v>954</v>
      </c>
      <c r="F533" s="55">
        <v>9.6717442500000015</v>
      </c>
      <c r="G533" s="29">
        <v>44652</v>
      </c>
      <c r="H533" s="30">
        <v>44926</v>
      </c>
    </row>
    <row r="534" spans="1:8" x14ac:dyDescent="0.2">
      <c r="A534" s="32">
        <v>660002</v>
      </c>
      <c r="B534" s="27" t="s">
        <v>353</v>
      </c>
      <c r="C534" s="55">
        <v>23.110500000000002</v>
      </c>
      <c r="D534" s="55">
        <v>10.399725000000002</v>
      </c>
      <c r="E534" s="28" t="s">
        <v>954</v>
      </c>
      <c r="F534" s="55">
        <v>9.6717442500000015</v>
      </c>
      <c r="G534" s="29">
        <v>44652</v>
      </c>
      <c r="H534" s="30">
        <v>44926</v>
      </c>
    </row>
    <row r="535" spans="1:8" x14ac:dyDescent="0.2">
      <c r="A535" s="32">
        <v>660003</v>
      </c>
      <c r="B535" s="27" t="s">
        <v>354</v>
      </c>
      <c r="C535" s="55">
        <v>26.596499999999999</v>
      </c>
      <c r="D535" s="55">
        <v>11.968425</v>
      </c>
      <c r="E535" s="28" t="s">
        <v>954</v>
      </c>
      <c r="F535" s="55">
        <v>11.130635250000001</v>
      </c>
      <c r="G535" s="29">
        <v>44652</v>
      </c>
      <c r="H535" s="30">
        <v>44926</v>
      </c>
    </row>
    <row r="536" spans="1:8" x14ac:dyDescent="0.2">
      <c r="A536" s="32">
        <v>660004</v>
      </c>
      <c r="B536" s="27" t="s">
        <v>355</v>
      </c>
      <c r="C536" s="55">
        <v>29.25</v>
      </c>
      <c r="D536" s="55">
        <v>13.1625</v>
      </c>
      <c r="E536" s="28" t="s">
        <v>954</v>
      </c>
      <c r="F536" s="55">
        <v>12.241125</v>
      </c>
      <c r="G536" s="29">
        <v>44652</v>
      </c>
      <c r="H536" s="30">
        <v>44926</v>
      </c>
    </row>
    <row r="537" spans="1:8" x14ac:dyDescent="0.2">
      <c r="A537" s="32">
        <v>710003</v>
      </c>
      <c r="B537" s="27" t="s">
        <v>356</v>
      </c>
      <c r="C537" s="55">
        <v>72.900000000000006</v>
      </c>
      <c r="D537" s="55">
        <v>32.805000000000007</v>
      </c>
      <c r="E537" s="28" t="s">
        <v>954</v>
      </c>
      <c r="F537" s="55">
        <v>30.508650000000006</v>
      </c>
      <c r="G537" s="29">
        <v>44652</v>
      </c>
      <c r="H537" s="30">
        <v>44926</v>
      </c>
    </row>
    <row r="538" spans="1:8" x14ac:dyDescent="0.2">
      <c r="A538" s="32">
        <v>710004</v>
      </c>
      <c r="B538" s="27" t="s">
        <v>357</v>
      </c>
      <c r="C538" s="55">
        <v>97.6815</v>
      </c>
      <c r="D538" s="55">
        <v>43.956675000000004</v>
      </c>
      <c r="E538" s="28" t="s">
        <v>954</v>
      </c>
      <c r="F538" s="55">
        <v>40.879707750000009</v>
      </c>
      <c r="G538" s="29">
        <v>44652</v>
      </c>
      <c r="H538" s="30">
        <v>44926</v>
      </c>
    </row>
    <row r="539" spans="1:8" x14ac:dyDescent="0.2">
      <c r="A539" s="32">
        <v>710005</v>
      </c>
      <c r="B539" s="27" t="s">
        <v>358</v>
      </c>
      <c r="C539" s="55">
        <v>75.138000000000005</v>
      </c>
      <c r="D539" s="55">
        <v>33.812100000000001</v>
      </c>
      <c r="E539" s="28" t="s">
        <v>954</v>
      </c>
      <c r="F539" s="55">
        <v>31.445253000000001</v>
      </c>
      <c r="G539" s="29">
        <v>44652</v>
      </c>
      <c r="H539" s="30">
        <v>44926</v>
      </c>
    </row>
    <row r="540" spans="1:8" x14ac:dyDescent="0.2">
      <c r="A540" s="32">
        <v>710014</v>
      </c>
      <c r="B540" s="27" t="s">
        <v>359</v>
      </c>
      <c r="C540" s="55">
        <v>110.98500000000001</v>
      </c>
      <c r="D540" s="55">
        <v>49.943250000000006</v>
      </c>
      <c r="E540" s="28" t="s">
        <v>954</v>
      </c>
      <c r="F540" s="55">
        <v>46.447222500000009</v>
      </c>
      <c r="G540" s="29">
        <v>44652</v>
      </c>
      <c r="H540" s="30">
        <v>44926</v>
      </c>
    </row>
    <row r="541" spans="1:8" x14ac:dyDescent="0.2">
      <c r="A541" s="32">
        <v>710025</v>
      </c>
      <c r="B541" s="27" t="s">
        <v>360</v>
      </c>
      <c r="C541" s="55">
        <v>105.04200000000002</v>
      </c>
      <c r="D541" s="55">
        <v>47.268900000000009</v>
      </c>
      <c r="E541" s="28" t="s">
        <v>954</v>
      </c>
      <c r="F541" s="55">
        <v>43.960077000000013</v>
      </c>
      <c r="G541" s="29">
        <v>44652</v>
      </c>
      <c r="H541" s="30">
        <v>44926</v>
      </c>
    </row>
    <row r="542" spans="1:8" x14ac:dyDescent="0.2">
      <c r="A542" s="32">
        <v>710031</v>
      </c>
      <c r="B542" s="27" t="s">
        <v>361</v>
      </c>
      <c r="C542" s="55">
        <v>75.179999999999993</v>
      </c>
      <c r="D542" s="55">
        <v>33.830999999999996</v>
      </c>
      <c r="E542" s="28" t="s">
        <v>954</v>
      </c>
      <c r="F542" s="55">
        <v>31.462829999999997</v>
      </c>
      <c r="G542" s="29">
        <v>44652</v>
      </c>
      <c r="H542" s="30">
        <v>44926</v>
      </c>
    </row>
    <row r="543" spans="1:8" x14ac:dyDescent="0.2">
      <c r="A543" s="32">
        <v>730004</v>
      </c>
      <c r="B543" s="27" t="s">
        <v>1012</v>
      </c>
      <c r="C543" s="55">
        <v>46.4</v>
      </c>
      <c r="D543" s="55">
        <v>20.88</v>
      </c>
      <c r="E543" s="28" t="s">
        <v>954</v>
      </c>
      <c r="F543" s="55">
        <v>19.418399999999998</v>
      </c>
      <c r="G543" s="29">
        <v>44652</v>
      </c>
      <c r="H543" s="30">
        <v>44926</v>
      </c>
    </row>
    <row r="544" spans="1:8" x14ac:dyDescent="0.2">
      <c r="A544" s="32">
        <v>730005</v>
      </c>
      <c r="B544" s="27" t="s">
        <v>1011</v>
      </c>
      <c r="C544" s="55">
        <v>54.4</v>
      </c>
      <c r="D544" s="55">
        <v>24.48</v>
      </c>
      <c r="E544" s="28" t="s">
        <v>954</v>
      </c>
      <c r="F544" s="55">
        <v>22.766400000000001</v>
      </c>
      <c r="G544" s="29">
        <v>44652</v>
      </c>
      <c r="H544" s="30">
        <v>44926</v>
      </c>
    </row>
    <row r="545" spans="1:8" x14ac:dyDescent="0.2">
      <c r="A545" s="32">
        <v>730016</v>
      </c>
      <c r="B545" s="27" t="s">
        <v>1010</v>
      </c>
      <c r="C545" s="55">
        <v>118.3</v>
      </c>
      <c r="D545" s="55">
        <v>53.234999999999999</v>
      </c>
      <c r="E545" s="28" t="s">
        <v>8</v>
      </c>
      <c r="F545" s="55"/>
      <c r="G545" s="29">
        <v>44652</v>
      </c>
      <c r="H545" s="30">
        <v>44926</v>
      </c>
    </row>
    <row r="546" spans="1:8" x14ac:dyDescent="0.2">
      <c r="A546" s="32">
        <v>733001</v>
      </c>
      <c r="B546" s="27" t="s">
        <v>362</v>
      </c>
      <c r="C546" s="55">
        <v>83.75</v>
      </c>
      <c r="D546" s="55">
        <v>37.6875</v>
      </c>
      <c r="E546" s="28" t="s">
        <v>954</v>
      </c>
      <c r="F546" s="55">
        <v>35.049375000000005</v>
      </c>
      <c r="G546" s="29">
        <v>44652</v>
      </c>
      <c r="H546" s="30">
        <v>44926</v>
      </c>
    </row>
    <row r="547" spans="1:8" x14ac:dyDescent="0.2">
      <c r="A547" s="32">
        <v>733003</v>
      </c>
      <c r="B547" s="27" t="s">
        <v>363</v>
      </c>
      <c r="C547" s="55">
        <v>86</v>
      </c>
      <c r="D547" s="55">
        <v>38.700000000000003</v>
      </c>
      <c r="E547" s="28" t="s">
        <v>954</v>
      </c>
      <c r="F547" s="55">
        <v>35.991000000000007</v>
      </c>
      <c r="G547" s="29">
        <v>44652</v>
      </c>
      <c r="H547" s="30">
        <v>44926</v>
      </c>
    </row>
    <row r="548" spans="1:8" x14ac:dyDescent="0.2">
      <c r="A548" s="32">
        <v>733009</v>
      </c>
      <c r="B548" s="27" t="s">
        <v>1271</v>
      </c>
      <c r="C548" s="55">
        <v>124</v>
      </c>
      <c r="D548" s="55">
        <v>55.800000000000004</v>
      </c>
      <c r="E548" s="28" t="s">
        <v>8</v>
      </c>
      <c r="F548" s="55"/>
      <c r="G548" s="29">
        <v>44652</v>
      </c>
      <c r="H548" s="30">
        <v>44926</v>
      </c>
    </row>
    <row r="549" spans="1:8" x14ac:dyDescent="0.2">
      <c r="A549" s="32">
        <v>733010</v>
      </c>
      <c r="B549" s="27" t="s">
        <v>1269</v>
      </c>
      <c r="C549" s="55">
        <v>132</v>
      </c>
      <c r="D549" s="55">
        <v>59.4</v>
      </c>
      <c r="E549" s="28" t="s">
        <v>8</v>
      </c>
      <c r="F549" s="55"/>
      <c r="G549" s="29">
        <v>44652</v>
      </c>
      <c r="H549" s="30">
        <v>44926</v>
      </c>
    </row>
    <row r="550" spans="1:8" x14ac:dyDescent="0.2">
      <c r="A550" s="32">
        <v>733011</v>
      </c>
      <c r="B550" s="27" t="s">
        <v>1273</v>
      </c>
      <c r="C550" s="55">
        <v>93.7</v>
      </c>
      <c r="D550" s="55">
        <v>42.164999999999999</v>
      </c>
      <c r="E550" s="28" t="s">
        <v>954</v>
      </c>
      <c r="F550" s="55">
        <v>39.213450000000002</v>
      </c>
      <c r="G550" s="29">
        <v>44652</v>
      </c>
      <c r="H550" s="30">
        <v>44926</v>
      </c>
    </row>
    <row r="551" spans="1:8" x14ac:dyDescent="0.2">
      <c r="A551" s="32">
        <v>733016</v>
      </c>
      <c r="B551" s="27" t="s">
        <v>1272</v>
      </c>
      <c r="C551" s="55">
        <v>99</v>
      </c>
      <c r="D551" s="55">
        <v>44.550000000000004</v>
      </c>
      <c r="E551" s="28" t="s">
        <v>8</v>
      </c>
      <c r="F551" s="55"/>
      <c r="G551" s="29">
        <v>44652</v>
      </c>
      <c r="H551" s="30">
        <v>44926</v>
      </c>
    </row>
    <row r="552" spans="1:8" x14ac:dyDescent="0.2">
      <c r="A552" s="32">
        <v>733017</v>
      </c>
      <c r="B552" s="27" t="s">
        <v>1270</v>
      </c>
      <c r="C552" s="55">
        <v>117</v>
      </c>
      <c r="D552" s="55">
        <v>52.65</v>
      </c>
      <c r="E552" s="28" t="s">
        <v>8</v>
      </c>
      <c r="F552" s="55"/>
      <c r="G552" s="29">
        <v>44652</v>
      </c>
      <c r="H552" s="30">
        <v>44926</v>
      </c>
    </row>
    <row r="553" spans="1:8" x14ac:dyDescent="0.2">
      <c r="A553" s="32">
        <v>770002</v>
      </c>
      <c r="B553" s="27" t="s">
        <v>364</v>
      </c>
      <c r="C553" s="55">
        <v>55.24</v>
      </c>
      <c r="D553" s="55">
        <v>24.858000000000001</v>
      </c>
      <c r="E553" s="28" t="s">
        <v>954</v>
      </c>
      <c r="F553" s="55">
        <v>23.117940000000001</v>
      </c>
      <c r="G553" s="29">
        <v>44652</v>
      </c>
      <c r="H553" s="30">
        <v>44926</v>
      </c>
    </row>
    <row r="554" spans="1:8" x14ac:dyDescent="0.2">
      <c r="A554" s="32">
        <v>770007</v>
      </c>
      <c r="B554" s="27" t="s">
        <v>1090</v>
      </c>
      <c r="C554" s="55">
        <v>84.2</v>
      </c>
      <c r="D554" s="55">
        <v>37.89</v>
      </c>
      <c r="E554" s="28" t="s">
        <v>954</v>
      </c>
      <c r="F554" s="55">
        <v>35.237700000000004</v>
      </c>
      <c r="G554" s="29">
        <v>44652</v>
      </c>
      <c r="H554" s="30">
        <v>44926</v>
      </c>
    </row>
    <row r="555" spans="1:8" x14ac:dyDescent="0.2">
      <c r="A555" s="32">
        <v>770008</v>
      </c>
      <c r="B555" s="27" t="s">
        <v>365</v>
      </c>
      <c r="C555" s="55">
        <v>94.7</v>
      </c>
      <c r="D555" s="55">
        <v>42.615000000000002</v>
      </c>
      <c r="E555" s="28" t="s">
        <v>954</v>
      </c>
      <c r="F555" s="55">
        <v>39.631950000000003</v>
      </c>
      <c r="G555" s="29">
        <v>44652</v>
      </c>
      <c r="H555" s="30">
        <v>44926</v>
      </c>
    </row>
    <row r="556" spans="1:8" x14ac:dyDescent="0.2">
      <c r="A556" s="32">
        <v>770020</v>
      </c>
      <c r="B556" s="27" t="s">
        <v>366</v>
      </c>
      <c r="C556" s="55">
        <v>131.05000000000001</v>
      </c>
      <c r="D556" s="55">
        <v>58.972500000000004</v>
      </c>
      <c r="E556" s="28" t="s">
        <v>954</v>
      </c>
      <c r="F556" s="55">
        <v>54.844425000000008</v>
      </c>
      <c r="G556" s="29">
        <v>44652</v>
      </c>
      <c r="H556" s="30">
        <v>44926</v>
      </c>
    </row>
    <row r="557" spans="1:8" x14ac:dyDescent="0.2">
      <c r="A557" s="32">
        <v>770022</v>
      </c>
      <c r="B557" s="27" t="s">
        <v>367</v>
      </c>
      <c r="C557" s="55">
        <v>60.56</v>
      </c>
      <c r="D557" s="55">
        <v>27.252000000000002</v>
      </c>
      <c r="E557" s="28" t="s">
        <v>954</v>
      </c>
      <c r="F557" s="55">
        <v>25.344360000000005</v>
      </c>
      <c r="G557" s="29">
        <v>44652</v>
      </c>
      <c r="H557" s="30">
        <v>44926</v>
      </c>
    </row>
    <row r="558" spans="1:8" x14ac:dyDescent="0.2">
      <c r="A558" s="32">
        <v>770024</v>
      </c>
      <c r="B558" s="27" t="s">
        <v>368</v>
      </c>
      <c r="C558" s="55">
        <v>90</v>
      </c>
      <c r="D558" s="55">
        <v>40.5</v>
      </c>
      <c r="E558" s="28" t="s">
        <v>8</v>
      </c>
      <c r="F558" s="55"/>
      <c r="G558" s="29">
        <v>44652</v>
      </c>
      <c r="H558" s="30">
        <v>44926</v>
      </c>
    </row>
    <row r="559" spans="1:8" x14ac:dyDescent="0.2">
      <c r="A559" s="32">
        <v>770026</v>
      </c>
      <c r="B559" s="27" t="s">
        <v>1088</v>
      </c>
      <c r="C559" s="55">
        <v>90</v>
      </c>
      <c r="D559" s="55">
        <v>40.5</v>
      </c>
      <c r="E559" s="28" t="s">
        <v>8</v>
      </c>
      <c r="F559" s="55"/>
      <c r="G559" s="29">
        <v>44652</v>
      </c>
      <c r="H559" s="30">
        <v>44926</v>
      </c>
    </row>
    <row r="560" spans="1:8" x14ac:dyDescent="0.2">
      <c r="A560" s="32">
        <v>773001</v>
      </c>
      <c r="B560" s="27" t="s">
        <v>369</v>
      </c>
      <c r="C560" s="55">
        <v>98.5</v>
      </c>
      <c r="D560" s="55">
        <v>44.325000000000003</v>
      </c>
      <c r="E560" s="28" t="s">
        <v>954</v>
      </c>
      <c r="F560" s="55">
        <v>41.222250000000003</v>
      </c>
      <c r="G560" s="29">
        <v>44652</v>
      </c>
      <c r="H560" s="30">
        <v>44926</v>
      </c>
    </row>
    <row r="561" spans="1:8" x14ac:dyDescent="0.2">
      <c r="A561" s="32">
        <v>773008</v>
      </c>
      <c r="B561" s="27" t="s">
        <v>370</v>
      </c>
      <c r="C561" s="55">
        <v>136</v>
      </c>
      <c r="D561" s="55">
        <v>61.2</v>
      </c>
      <c r="E561" s="28" t="s">
        <v>954</v>
      </c>
      <c r="F561" s="55">
        <v>56.916000000000004</v>
      </c>
      <c r="G561" s="29">
        <v>44652</v>
      </c>
      <c r="H561" s="30">
        <v>44926</v>
      </c>
    </row>
    <row r="562" spans="1:8" x14ac:dyDescent="0.2">
      <c r="A562" s="32">
        <v>773019</v>
      </c>
      <c r="B562" s="27" t="s">
        <v>1341</v>
      </c>
      <c r="C562" s="55">
        <v>157</v>
      </c>
      <c r="D562" s="55">
        <v>70.650000000000006</v>
      </c>
      <c r="E562" s="28" t="s">
        <v>954</v>
      </c>
      <c r="F562" s="55">
        <v>65.70450000000001</v>
      </c>
      <c r="G562" s="29">
        <v>44652</v>
      </c>
      <c r="H562" s="30">
        <v>44926</v>
      </c>
    </row>
    <row r="563" spans="1:8" x14ac:dyDescent="0.2">
      <c r="A563" s="32">
        <v>773020</v>
      </c>
      <c r="B563" s="27" t="s">
        <v>371</v>
      </c>
      <c r="C563" s="55">
        <v>164</v>
      </c>
      <c r="D563" s="55">
        <v>73.8</v>
      </c>
      <c r="E563" s="28" t="s">
        <v>954</v>
      </c>
      <c r="F563" s="55">
        <v>68.634</v>
      </c>
      <c r="G563" s="29">
        <v>44652</v>
      </c>
      <c r="H563" s="30">
        <v>44926</v>
      </c>
    </row>
    <row r="564" spans="1:8" x14ac:dyDescent="0.2">
      <c r="A564" s="32">
        <v>773022</v>
      </c>
      <c r="B564" s="27" t="s">
        <v>372</v>
      </c>
      <c r="C564" s="55">
        <v>103</v>
      </c>
      <c r="D564" s="55">
        <v>46.35</v>
      </c>
      <c r="E564" s="28" t="s">
        <v>954</v>
      </c>
      <c r="F564" s="55">
        <v>43.105500000000006</v>
      </c>
      <c r="G564" s="29">
        <v>44652</v>
      </c>
      <c r="H564" s="30">
        <v>44926</v>
      </c>
    </row>
    <row r="565" spans="1:8" x14ac:dyDescent="0.2">
      <c r="A565" s="32">
        <v>773024</v>
      </c>
      <c r="B565" s="27" t="s">
        <v>1338</v>
      </c>
      <c r="C565" s="55">
        <v>136</v>
      </c>
      <c r="D565" s="55">
        <v>61.2</v>
      </c>
      <c r="E565" s="28" t="s">
        <v>8</v>
      </c>
      <c r="F565" s="55"/>
      <c r="G565" s="29">
        <v>44652</v>
      </c>
      <c r="H565" s="30">
        <v>44926</v>
      </c>
    </row>
    <row r="566" spans="1:8" x14ac:dyDescent="0.2">
      <c r="A566" s="32">
        <v>773026</v>
      </c>
      <c r="B566" s="27" t="s">
        <v>1339</v>
      </c>
      <c r="C566" s="55">
        <v>126</v>
      </c>
      <c r="D566" s="55">
        <v>56.7</v>
      </c>
      <c r="E566" s="28" t="s">
        <v>8</v>
      </c>
      <c r="F566" s="55"/>
      <c r="G566" s="29">
        <v>44652</v>
      </c>
      <c r="H566" s="30">
        <v>44926</v>
      </c>
    </row>
    <row r="567" spans="1:8" x14ac:dyDescent="0.2">
      <c r="A567" s="32">
        <v>780019</v>
      </c>
      <c r="B567" s="27" t="s">
        <v>1089</v>
      </c>
      <c r="C567" s="55">
        <v>76.75</v>
      </c>
      <c r="D567" s="55">
        <v>34.537500000000001</v>
      </c>
      <c r="E567" s="28" t="s">
        <v>954</v>
      </c>
      <c r="F567" s="55">
        <v>32.119875</v>
      </c>
      <c r="G567" s="29">
        <v>44652</v>
      </c>
      <c r="H567" s="30">
        <v>44926</v>
      </c>
    </row>
    <row r="568" spans="1:8" x14ac:dyDescent="0.2">
      <c r="A568" s="32">
        <v>780020</v>
      </c>
      <c r="B568" s="27" t="s">
        <v>373</v>
      </c>
      <c r="C568" s="55">
        <v>82.8</v>
      </c>
      <c r="D568" s="55">
        <v>37.26</v>
      </c>
      <c r="E568" s="28" t="s">
        <v>954</v>
      </c>
      <c r="F568" s="55">
        <v>34.651800000000001</v>
      </c>
      <c r="G568" s="29">
        <v>44652</v>
      </c>
      <c r="H568" s="30">
        <v>44926</v>
      </c>
    </row>
    <row r="569" spans="1:8" x14ac:dyDescent="0.2">
      <c r="A569" s="32">
        <v>780023</v>
      </c>
      <c r="B569" s="27" t="s">
        <v>1091</v>
      </c>
      <c r="C569" s="55">
        <v>88.2</v>
      </c>
      <c r="D569" s="55">
        <v>39.690000000000005</v>
      </c>
      <c r="E569" s="28" t="s">
        <v>954</v>
      </c>
      <c r="F569" s="55">
        <v>36.911700000000003</v>
      </c>
      <c r="G569" s="29">
        <v>44652</v>
      </c>
      <c r="H569" s="30">
        <v>44926</v>
      </c>
    </row>
    <row r="570" spans="1:8" x14ac:dyDescent="0.2">
      <c r="A570" s="32">
        <v>783020</v>
      </c>
      <c r="B570" s="27" t="s">
        <v>1340</v>
      </c>
      <c r="C570" s="55">
        <v>128.5</v>
      </c>
      <c r="D570" s="55">
        <v>57.825000000000003</v>
      </c>
      <c r="E570" s="28" t="s">
        <v>954</v>
      </c>
      <c r="F570" s="55">
        <v>53.777250000000002</v>
      </c>
      <c r="G570" s="29">
        <v>44652</v>
      </c>
      <c r="H570" s="30">
        <v>44926</v>
      </c>
    </row>
    <row r="571" spans="1:8" x14ac:dyDescent="0.2">
      <c r="A571" s="32">
        <v>783027</v>
      </c>
      <c r="B571" s="27" t="s">
        <v>1340</v>
      </c>
      <c r="C571" s="55">
        <v>132</v>
      </c>
      <c r="D571" s="55">
        <v>59.4</v>
      </c>
      <c r="E571" s="28" t="s">
        <v>954</v>
      </c>
      <c r="F571" s="55">
        <v>55.242000000000004</v>
      </c>
      <c r="G571" s="29">
        <v>44652</v>
      </c>
      <c r="H571" s="30">
        <v>44926</v>
      </c>
    </row>
    <row r="572" spans="1:8" x14ac:dyDescent="0.2">
      <c r="A572" s="32">
        <v>820012</v>
      </c>
      <c r="B572" s="27" t="s">
        <v>374</v>
      </c>
      <c r="C572" s="55">
        <v>12.93</v>
      </c>
      <c r="D572" s="55">
        <v>5.8185000000000002</v>
      </c>
      <c r="E572" s="28" t="s">
        <v>960</v>
      </c>
      <c r="F572" s="55">
        <v>5.4112050000000007</v>
      </c>
      <c r="G572" s="29">
        <v>44652</v>
      </c>
      <c r="H572" s="30">
        <v>44926</v>
      </c>
    </row>
    <row r="573" spans="1:8" x14ac:dyDescent="0.2">
      <c r="A573" s="32">
        <v>820015</v>
      </c>
      <c r="B573" s="27" t="s">
        <v>1064</v>
      </c>
      <c r="C573" s="55">
        <v>19.14</v>
      </c>
      <c r="D573" s="55">
        <v>8.6130000000000013</v>
      </c>
      <c r="E573" s="28" t="s">
        <v>960</v>
      </c>
      <c r="F573" s="55">
        <v>8.0100900000000017</v>
      </c>
      <c r="G573" s="29">
        <v>44652</v>
      </c>
      <c r="H573" s="30">
        <v>44926</v>
      </c>
    </row>
    <row r="574" spans="1:8" x14ac:dyDescent="0.2">
      <c r="A574" s="32">
        <v>820317</v>
      </c>
      <c r="B574" s="27" t="s">
        <v>375</v>
      </c>
      <c r="C574" s="55">
        <v>138.726</v>
      </c>
      <c r="D574" s="55">
        <v>62.426700000000004</v>
      </c>
      <c r="E574" s="28" t="s">
        <v>954</v>
      </c>
      <c r="F574" s="55">
        <v>58.05683100000001</v>
      </c>
      <c r="G574" s="29">
        <v>44652</v>
      </c>
      <c r="H574" s="30">
        <v>44926</v>
      </c>
    </row>
    <row r="575" spans="1:8" x14ac:dyDescent="0.2">
      <c r="A575" s="32">
        <v>820319</v>
      </c>
      <c r="B575" s="27" t="s">
        <v>376</v>
      </c>
      <c r="C575" s="55">
        <v>146.54849999999999</v>
      </c>
      <c r="D575" s="55">
        <v>65.946825000000004</v>
      </c>
      <c r="E575" s="28" t="s">
        <v>954</v>
      </c>
      <c r="F575" s="55">
        <v>61.330547250000009</v>
      </c>
      <c r="G575" s="29">
        <v>44652</v>
      </c>
      <c r="H575" s="30">
        <v>44926</v>
      </c>
    </row>
    <row r="576" spans="1:8" x14ac:dyDescent="0.2">
      <c r="A576" s="32">
        <v>830014</v>
      </c>
      <c r="B576" s="27" t="s">
        <v>1053</v>
      </c>
      <c r="C576" s="55">
        <v>89</v>
      </c>
      <c r="D576" s="55">
        <v>40.050000000000004</v>
      </c>
      <c r="E576" s="28"/>
      <c r="F576" s="55">
        <v>37.246500000000005</v>
      </c>
      <c r="G576" s="29">
        <v>44652</v>
      </c>
      <c r="H576" s="30">
        <v>44926</v>
      </c>
    </row>
    <row r="577" spans="1:8" x14ac:dyDescent="0.2">
      <c r="A577" s="32">
        <v>830213</v>
      </c>
      <c r="B577" s="27" t="s">
        <v>377</v>
      </c>
      <c r="C577" s="55">
        <v>180</v>
      </c>
      <c r="D577" s="55">
        <v>81</v>
      </c>
      <c r="E577" s="28" t="s">
        <v>954</v>
      </c>
      <c r="F577" s="55">
        <v>75.33</v>
      </c>
      <c r="G577" s="29">
        <v>44652</v>
      </c>
      <c r="H577" s="30">
        <v>44926</v>
      </c>
    </row>
    <row r="578" spans="1:8" x14ac:dyDescent="0.2">
      <c r="A578" s="32">
        <v>830514</v>
      </c>
      <c r="B578" s="27" t="s">
        <v>378</v>
      </c>
      <c r="C578" s="55">
        <v>291</v>
      </c>
      <c r="D578" s="55">
        <v>130.95000000000002</v>
      </c>
      <c r="E578" s="28" t="s">
        <v>8</v>
      </c>
      <c r="F578" s="55"/>
      <c r="G578" s="29">
        <v>44652</v>
      </c>
      <c r="H578" s="30">
        <v>44926</v>
      </c>
    </row>
    <row r="579" spans="1:8" x14ac:dyDescent="0.2">
      <c r="A579" s="32">
        <v>830518</v>
      </c>
      <c r="B579" s="27" t="s">
        <v>379</v>
      </c>
      <c r="C579" s="55">
        <v>330</v>
      </c>
      <c r="D579" s="55">
        <v>148.5</v>
      </c>
      <c r="E579" s="28" t="s">
        <v>8</v>
      </c>
      <c r="F579" s="55"/>
      <c r="G579" s="29">
        <v>44652</v>
      </c>
      <c r="H579" s="30">
        <v>44926</v>
      </c>
    </row>
    <row r="580" spans="1:8" x14ac:dyDescent="0.2">
      <c r="A580" s="32">
        <v>831011</v>
      </c>
      <c r="B580" s="27" t="s">
        <v>1054</v>
      </c>
      <c r="C580" s="55">
        <v>95</v>
      </c>
      <c r="D580" s="55">
        <v>42.75</v>
      </c>
      <c r="E580" s="28"/>
      <c r="F580" s="55">
        <v>39.7575</v>
      </c>
      <c r="G580" s="29">
        <v>44652</v>
      </c>
      <c r="H580" s="30">
        <v>44926</v>
      </c>
    </row>
    <row r="581" spans="1:8" x14ac:dyDescent="0.2">
      <c r="A581" s="32">
        <v>831213</v>
      </c>
      <c r="B581" s="27" t="s">
        <v>380</v>
      </c>
      <c r="C581" s="55">
        <v>150</v>
      </c>
      <c r="D581" s="55">
        <v>67.5</v>
      </c>
      <c r="E581" s="28" t="s">
        <v>954</v>
      </c>
      <c r="F581" s="55">
        <v>62.775000000000006</v>
      </c>
      <c r="G581" s="29">
        <v>44652</v>
      </c>
      <c r="H581" s="30">
        <v>44926</v>
      </c>
    </row>
    <row r="582" spans="1:8" x14ac:dyDescent="0.2">
      <c r="A582" s="32">
        <v>831516</v>
      </c>
      <c r="B582" s="27" t="s">
        <v>381</v>
      </c>
      <c r="C582" s="55">
        <v>292.11</v>
      </c>
      <c r="D582" s="55">
        <v>131.4495</v>
      </c>
      <c r="E582" s="28" t="s">
        <v>8</v>
      </c>
      <c r="F582" s="55"/>
      <c r="G582" s="29">
        <v>44652</v>
      </c>
      <c r="H582" s="30">
        <v>44926</v>
      </c>
    </row>
    <row r="583" spans="1:8" x14ac:dyDescent="0.2">
      <c r="A583" s="32">
        <v>835001</v>
      </c>
      <c r="B583" s="27" t="s">
        <v>382</v>
      </c>
      <c r="C583" s="55">
        <v>58.3</v>
      </c>
      <c r="D583" s="55">
        <v>26.234999999999999</v>
      </c>
      <c r="E583" s="28" t="s">
        <v>954</v>
      </c>
      <c r="F583" s="55">
        <v>24.39855</v>
      </c>
      <c r="G583" s="29">
        <v>44652</v>
      </c>
      <c r="H583" s="30">
        <v>44926</v>
      </c>
    </row>
    <row r="584" spans="1:8" x14ac:dyDescent="0.2">
      <c r="A584" s="32">
        <v>835003</v>
      </c>
      <c r="B584" s="27" t="s">
        <v>383</v>
      </c>
      <c r="C584" s="55">
        <v>80.5</v>
      </c>
      <c r="D584" s="55">
        <v>36.225000000000001</v>
      </c>
      <c r="E584" s="28" t="s">
        <v>954</v>
      </c>
      <c r="F584" s="55">
        <v>33.689250000000001</v>
      </c>
      <c r="G584" s="29">
        <v>44652</v>
      </c>
      <c r="H584" s="30">
        <v>44926</v>
      </c>
    </row>
    <row r="585" spans="1:8" x14ac:dyDescent="0.2">
      <c r="A585" s="32">
        <v>835005</v>
      </c>
      <c r="B585" s="27" t="s">
        <v>384</v>
      </c>
      <c r="C585" s="55">
        <v>62</v>
      </c>
      <c r="D585" s="55">
        <v>27.900000000000002</v>
      </c>
      <c r="E585" s="28" t="s">
        <v>954</v>
      </c>
      <c r="F585" s="55">
        <v>25.947000000000003</v>
      </c>
      <c r="G585" s="29">
        <v>44652</v>
      </c>
      <c r="H585" s="30">
        <v>44926</v>
      </c>
    </row>
    <row r="586" spans="1:8" x14ac:dyDescent="0.2">
      <c r="A586" s="32">
        <v>835011</v>
      </c>
      <c r="B586" s="27" t="s">
        <v>385</v>
      </c>
      <c r="C586" s="55">
        <v>77.5</v>
      </c>
      <c r="D586" s="55">
        <v>34.875</v>
      </c>
      <c r="E586" s="28" t="s">
        <v>954</v>
      </c>
      <c r="F586" s="55">
        <v>32.433750000000003</v>
      </c>
      <c r="G586" s="29">
        <v>44652</v>
      </c>
      <c r="H586" s="30">
        <v>44926</v>
      </c>
    </row>
    <row r="587" spans="1:8" x14ac:dyDescent="0.2">
      <c r="A587" s="32">
        <v>835013</v>
      </c>
      <c r="B587" s="27" t="s">
        <v>386</v>
      </c>
      <c r="C587" s="55">
        <v>94.2</v>
      </c>
      <c r="D587" s="55">
        <v>42.39</v>
      </c>
      <c r="E587" s="28" t="s">
        <v>954</v>
      </c>
      <c r="F587" s="55">
        <v>39.422700000000006</v>
      </c>
      <c r="G587" s="29">
        <v>44652</v>
      </c>
      <c r="H587" s="30">
        <v>44926</v>
      </c>
    </row>
    <row r="588" spans="1:8" x14ac:dyDescent="0.2">
      <c r="A588" s="32">
        <v>835014</v>
      </c>
      <c r="B588" s="27" t="s">
        <v>387</v>
      </c>
      <c r="C588" s="55">
        <v>73.2</v>
      </c>
      <c r="D588" s="55">
        <v>32.940000000000005</v>
      </c>
      <c r="E588" s="28" t="s">
        <v>954</v>
      </c>
      <c r="F588" s="55">
        <v>30.634200000000007</v>
      </c>
      <c r="G588" s="29">
        <v>44652</v>
      </c>
      <c r="H588" s="30">
        <v>44926</v>
      </c>
    </row>
    <row r="589" spans="1:8" x14ac:dyDescent="0.2">
      <c r="A589" s="32">
        <v>835021</v>
      </c>
      <c r="B589" s="27" t="s">
        <v>388</v>
      </c>
      <c r="C589" s="55">
        <v>82.11</v>
      </c>
      <c r="D589" s="55">
        <v>36.9495</v>
      </c>
      <c r="E589" s="28" t="s">
        <v>954</v>
      </c>
      <c r="F589" s="55">
        <v>34.363035000000004</v>
      </c>
      <c r="G589" s="29">
        <v>44652</v>
      </c>
      <c r="H589" s="30">
        <v>44926</v>
      </c>
    </row>
    <row r="590" spans="1:8" x14ac:dyDescent="0.2">
      <c r="A590" s="32">
        <v>835022</v>
      </c>
      <c r="B590" s="27" t="s">
        <v>389</v>
      </c>
      <c r="C590" s="55">
        <v>99.3</v>
      </c>
      <c r="D590" s="55">
        <v>44.685000000000002</v>
      </c>
      <c r="E590" s="28" t="s">
        <v>954</v>
      </c>
      <c r="F590" s="55">
        <v>41.557050000000004</v>
      </c>
      <c r="G590" s="29">
        <v>44652</v>
      </c>
      <c r="H590" s="30">
        <v>44926</v>
      </c>
    </row>
    <row r="591" spans="1:8" x14ac:dyDescent="0.2">
      <c r="A591" s="32">
        <v>835025</v>
      </c>
      <c r="B591" s="27" t="s">
        <v>390</v>
      </c>
      <c r="C591" s="55">
        <v>92</v>
      </c>
      <c r="D591" s="55">
        <v>41.4</v>
      </c>
      <c r="E591" s="28" t="s">
        <v>954</v>
      </c>
      <c r="F591" s="55">
        <v>38.502000000000002</v>
      </c>
      <c r="G591" s="29">
        <v>44652</v>
      </c>
      <c r="H591" s="30">
        <v>44926</v>
      </c>
    </row>
    <row r="592" spans="1:8" x14ac:dyDescent="0.2">
      <c r="A592" s="32">
        <v>835026</v>
      </c>
      <c r="B592" s="27" t="s">
        <v>391</v>
      </c>
      <c r="C592" s="55">
        <v>115.6</v>
      </c>
      <c r="D592" s="55">
        <v>52.019999999999996</v>
      </c>
      <c r="E592" s="28" t="s">
        <v>954</v>
      </c>
      <c r="F592" s="55">
        <v>48.378599999999999</v>
      </c>
      <c r="G592" s="29">
        <v>44652</v>
      </c>
      <c r="H592" s="30">
        <v>44926</v>
      </c>
    </row>
    <row r="593" spans="1:8" x14ac:dyDescent="0.2">
      <c r="A593" s="32">
        <v>835031</v>
      </c>
      <c r="B593" s="27" t="s">
        <v>1085</v>
      </c>
      <c r="C593" s="55">
        <v>72.2</v>
      </c>
      <c r="D593" s="55">
        <v>32.49</v>
      </c>
      <c r="E593" s="28" t="s">
        <v>954</v>
      </c>
      <c r="F593" s="55">
        <v>30.215700000000002</v>
      </c>
      <c r="G593" s="29">
        <v>44652</v>
      </c>
      <c r="H593" s="30">
        <v>44926</v>
      </c>
    </row>
    <row r="594" spans="1:8" x14ac:dyDescent="0.2">
      <c r="A594" s="32">
        <v>835501</v>
      </c>
      <c r="B594" s="27" t="s">
        <v>392</v>
      </c>
      <c r="C594" s="55">
        <v>264.34800000000001</v>
      </c>
      <c r="D594" s="55">
        <v>118.95660000000001</v>
      </c>
      <c r="E594" s="28" t="s">
        <v>8</v>
      </c>
      <c r="F594" s="55"/>
      <c r="G594" s="29">
        <v>44652</v>
      </c>
      <c r="H594" s="30">
        <v>44926</v>
      </c>
    </row>
    <row r="595" spans="1:8" x14ac:dyDescent="0.2">
      <c r="A595" s="32">
        <v>835503</v>
      </c>
      <c r="B595" s="27" t="s">
        <v>393</v>
      </c>
      <c r="C595" s="55">
        <v>284.45550000000003</v>
      </c>
      <c r="D595" s="55">
        <v>128.00497500000003</v>
      </c>
      <c r="E595" s="28" t="s">
        <v>8</v>
      </c>
      <c r="F595" s="55"/>
      <c r="G595" s="29">
        <v>44652</v>
      </c>
      <c r="H595" s="30">
        <v>44926</v>
      </c>
    </row>
    <row r="596" spans="1:8" x14ac:dyDescent="0.2">
      <c r="A596" s="32">
        <v>835505</v>
      </c>
      <c r="B596" s="27" t="s">
        <v>394</v>
      </c>
      <c r="C596" s="55">
        <v>264.63150000000002</v>
      </c>
      <c r="D596" s="55">
        <v>119.08417500000002</v>
      </c>
      <c r="E596" s="28" t="s">
        <v>8</v>
      </c>
      <c r="F596" s="55"/>
      <c r="G596" s="29">
        <v>44652</v>
      </c>
      <c r="H596" s="30">
        <v>44926</v>
      </c>
    </row>
    <row r="597" spans="1:8" x14ac:dyDescent="0.2">
      <c r="A597" s="32">
        <v>835531</v>
      </c>
      <c r="B597" s="27" t="s">
        <v>395</v>
      </c>
      <c r="C597" s="55">
        <v>264.34800000000001</v>
      </c>
      <c r="D597" s="55">
        <v>118.95660000000001</v>
      </c>
      <c r="E597" s="28" t="s">
        <v>8</v>
      </c>
      <c r="F597" s="55"/>
      <c r="G597" s="29">
        <v>44652</v>
      </c>
      <c r="H597" s="30">
        <v>44926</v>
      </c>
    </row>
    <row r="598" spans="1:8" x14ac:dyDescent="0.2">
      <c r="A598" s="32">
        <v>835535</v>
      </c>
      <c r="B598" s="27" t="s">
        <v>1260</v>
      </c>
      <c r="C598" s="55">
        <v>294.66149999999999</v>
      </c>
      <c r="D598" s="55">
        <v>132.59767500000001</v>
      </c>
      <c r="E598" s="28" t="s">
        <v>8</v>
      </c>
      <c r="F598" s="55"/>
      <c r="G598" s="29">
        <v>44652</v>
      </c>
      <c r="H598" s="30">
        <v>44926</v>
      </c>
    </row>
    <row r="599" spans="1:8" x14ac:dyDescent="0.2">
      <c r="A599" s="32">
        <v>835551</v>
      </c>
      <c r="B599" s="27" t="s">
        <v>396</v>
      </c>
      <c r="C599" s="55">
        <v>294.66149999999999</v>
      </c>
      <c r="D599" s="55">
        <v>132.59767500000001</v>
      </c>
      <c r="E599" s="28" t="s">
        <v>8</v>
      </c>
      <c r="F599" s="55"/>
      <c r="G599" s="29">
        <v>44652</v>
      </c>
      <c r="H599" s="30">
        <v>44926</v>
      </c>
    </row>
    <row r="600" spans="1:8" x14ac:dyDescent="0.2">
      <c r="A600" s="32">
        <v>835563</v>
      </c>
      <c r="B600" s="27" t="s">
        <v>1259</v>
      </c>
      <c r="C600" s="55">
        <v>317.55150000000003</v>
      </c>
      <c r="D600" s="55">
        <v>142.89817500000001</v>
      </c>
      <c r="E600" s="28" t="s">
        <v>8</v>
      </c>
      <c r="F600" s="55"/>
      <c r="G600" s="29">
        <v>44652</v>
      </c>
      <c r="H600" s="30">
        <v>44926</v>
      </c>
    </row>
    <row r="601" spans="1:8" x14ac:dyDescent="0.2">
      <c r="A601" s="32">
        <v>900016</v>
      </c>
      <c r="B601" s="27" t="s">
        <v>1230</v>
      </c>
      <c r="C601" s="55">
        <v>390</v>
      </c>
      <c r="D601" s="55">
        <v>175.5</v>
      </c>
      <c r="E601" s="28" t="s">
        <v>8</v>
      </c>
      <c r="F601" s="55"/>
      <c r="G601" s="29">
        <v>44652</v>
      </c>
      <c r="H601" s="30">
        <v>44926</v>
      </c>
    </row>
    <row r="602" spans="1:8" x14ac:dyDescent="0.2">
      <c r="A602" s="32">
        <v>910100</v>
      </c>
      <c r="B602" s="27" t="s">
        <v>397</v>
      </c>
      <c r="C602" s="55">
        <v>245.24850000000001</v>
      </c>
      <c r="D602" s="55">
        <v>110.36182500000001</v>
      </c>
      <c r="E602" s="28" t="s">
        <v>8</v>
      </c>
      <c r="F602" s="55"/>
      <c r="G602" s="29">
        <v>44652</v>
      </c>
      <c r="H602" s="30">
        <v>44926</v>
      </c>
    </row>
    <row r="603" spans="1:8" x14ac:dyDescent="0.2">
      <c r="A603" s="32">
        <v>910101</v>
      </c>
      <c r="B603" s="27" t="s">
        <v>398</v>
      </c>
      <c r="C603" s="55">
        <v>207.94200000000001</v>
      </c>
      <c r="D603" s="55">
        <v>93.573900000000009</v>
      </c>
      <c r="E603" s="28" t="s">
        <v>8</v>
      </c>
      <c r="F603" s="55"/>
      <c r="G603" s="29">
        <v>44652</v>
      </c>
      <c r="H603" s="30">
        <v>44926</v>
      </c>
    </row>
    <row r="604" spans="1:8" x14ac:dyDescent="0.2">
      <c r="A604" s="32">
        <v>910102</v>
      </c>
      <c r="B604" s="27" t="s">
        <v>399</v>
      </c>
      <c r="C604" s="55">
        <v>209.70600000000002</v>
      </c>
      <c r="D604" s="55">
        <v>94.367700000000013</v>
      </c>
      <c r="E604" s="28" t="s">
        <v>8</v>
      </c>
      <c r="F604" s="55"/>
      <c r="G604" s="29">
        <v>44652</v>
      </c>
      <c r="H604" s="30">
        <v>44926</v>
      </c>
    </row>
    <row r="605" spans="1:8" x14ac:dyDescent="0.2">
      <c r="A605" s="32">
        <v>910106</v>
      </c>
      <c r="B605" s="27" t="s">
        <v>982</v>
      </c>
      <c r="C605" s="55">
        <v>245.61599999999999</v>
      </c>
      <c r="D605" s="55">
        <v>110.52719999999999</v>
      </c>
      <c r="E605" s="28" t="s">
        <v>8</v>
      </c>
      <c r="F605" s="55"/>
      <c r="G605" s="29">
        <v>44652</v>
      </c>
      <c r="H605" s="30">
        <v>44926</v>
      </c>
    </row>
    <row r="606" spans="1:8" x14ac:dyDescent="0.2">
      <c r="A606" s="32">
        <v>910111</v>
      </c>
      <c r="B606" s="27" t="s">
        <v>400</v>
      </c>
      <c r="C606" s="55">
        <v>97.996499999999997</v>
      </c>
      <c r="D606" s="55">
        <v>44.098424999999999</v>
      </c>
      <c r="E606" s="28" t="s">
        <v>8</v>
      </c>
      <c r="F606" s="55"/>
      <c r="G606" s="29">
        <v>44652</v>
      </c>
      <c r="H606" s="30">
        <v>44926</v>
      </c>
    </row>
    <row r="607" spans="1:8" x14ac:dyDescent="0.2">
      <c r="A607" s="32">
        <v>910115</v>
      </c>
      <c r="B607" s="27" t="s">
        <v>401</v>
      </c>
      <c r="C607" s="55">
        <v>137.66550000000001</v>
      </c>
      <c r="D607" s="55">
        <v>61.949475000000007</v>
      </c>
      <c r="E607" s="28" t="s">
        <v>8</v>
      </c>
      <c r="F607" s="55"/>
      <c r="G607" s="29">
        <v>44652</v>
      </c>
      <c r="H607" s="30">
        <v>44926</v>
      </c>
    </row>
    <row r="608" spans="1:8" x14ac:dyDescent="0.2">
      <c r="A608" s="32">
        <v>910124</v>
      </c>
      <c r="B608" s="27" t="s">
        <v>975</v>
      </c>
      <c r="C608" s="55">
        <v>211.7535</v>
      </c>
      <c r="D608" s="55">
        <v>95.289074999999997</v>
      </c>
      <c r="E608" s="28" t="s">
        <v>8</v>
      </c>
      <c r="F608" s="55"/>
      <c r="G608" s="29">
        <v>44652</v>
      </c>
      <c r="H608" s="30">
        <v>44926</v>
      </c>
    </row>
    <row r="609" spans="1:8" x14ac:dyDescent="0.2">
      <c r="A609" s="32">
        <v>910144</v>
      </c>
      <c r="B609" s="27" t="s">
        <v>402</v>
      </c>
      <c r="C609" s="55">
        <v>43.61</v>
      </c>
      <c r="D609" s="55">
        <v>19.624500000000001</v>
      </c>
      <c r="E609" s="28" t="s">
        <v>8</v>
      </c>
      <c r="F609" s="55"/>
      <c r="G609" s="29">
        <v>44652</v>
      </c>
      <c r="H609" s="30">
        <v>44926</v>
      </c>
    </row>
    <row r="610" spans="1:8" x14ac:dyDescent="0.2">
      <c r="A610" s="32">
        <v>910155</v>
      </c>
      <c r="B610" s="27" t="s">
        <v>403</v>
      </c>
      <c r="C610" s="55">
        <v>396.9735</v>
      </c>
      <c r="D610" s="55">
        <v>178.63807500000001</v>
      </c>
      <c r="E610" s="28" t="s">
        <v>8</v>
      </c>
      <c r="F610" s="55"/>
      <c r="G610" s="29">
        <v>44652</v>
      </c>
      <c r="H610" s="30">
        <v>44926</v>
      </c>
    </row>
    <row r="611" spans="1:8" x14ac:dyDescent="0.2">
      <c r="A611" s="32">
        <v>910156</v>
      </c>
      <c r="B611" s="27" t="s">
        <v>404</v>
      </c>
      <c r="C611" s="55">
        <v>166.2045</v>
      </c>
      <c r="D611" s="55">
        <v>74.792024999999995</v>
      </c>
      <c r="E611" s="28" t="s">
        <v>8</v>
      </c>
      <c r="F611" s="55"/>
      <c r="G611" s="29">
        <v>44652</v>
      </c>
      <c r="H611" s="30">
        <v>44926</v>
      </c>
    </row>
    <row r="612" spans="1:8" x14ac:dyDescent="0.2">
      <c r="A612" s="32">
        <v>910165</v>
      </c>
      <c r="B612" s="27" t="s">
        <v>405</v>
      </c>
      <c r="C612" s="55">
        <v>81.38</v>
      </c>
      <c r="D612" s="55">
        <v>36.621000000000002</v>
      </c>
      <c r="E612" s="28" t="s">
        <v>8</v>
      </c>
      <c r="F612" s="55"/>
      <c r="G612" s="29">
        <v>44652</v>
      </c>
      <c r="H612" s="30">
        <v>44926</v>
      </c>
    </row>
    <row r="613" spans="1:8" x14ac:dyDescent="0.2">
      <c r="A613" s="32">
        <v>910166</v>
      </c>
      <c r="B613" s="27" t="s">
        <v>406</v>
      </c>
      <c r="C613" s="55">
        <v>239.36850000000001</v>
      </c>
      <c r="D613" s="55">
        <v>107.71582500000001</v>
      </c>
      <c r="E613" s="28" t="s">
        <v>8</v>
      </c>
      <c r="F613" s="55"/>
      <c r="G613" s="29">
        <v>44652</v>
      </c>
      <c r="H613" s="30">
        <v>44926</v>
      </c>
    </row>
    <row r="614" spans="1:8" x14ac:dyDescent="0.2">
      <c r="A614" s="32">
        <v>910167</v>
      </c>
      <c r="B614" s="27" t="s">
        <v>407</v>
      </c>
      <c r="C614" s="55">
        <v>167.29</v>
      </c>
      <c r="D614" s="55">
        <v>75.280500000000004</v>
      </c>
      <c r="E614" s="28" t="s">
        <v>8</v>
      </c>
      <c r="F614" s="55"/>
      <c r="G614" s="29">
        <v>44652</v>
      </c>
      <c r="H614" s="30">
        <v>44926</v>
      </c>
    </row>
    <row r="615" spans="1:8" x14ac:dyDescent="0.2">
      <c r="A615" s="32">
        <v>910169</v>
      </c>
      <c r="B615" s="27" t="s">
        <v>408</v>
      </c>
      <c r="C615" s="55">
        <v>42.34</v>
      </c>
      <c r="D615" s="55">
        <v>19.053000000000001</v>
      </c>
      <c r="E615" s="28" t="s">
        <v>8</v>
      </c>
      <c r="F615" s="55"/>
      <c r="G615" s="29">
        <v>44652</v>
      </c>
      <c r="H615" s="30">
        <v>44926</v>
      </c>
    </row>
    <row r="616" spans="1:8" x14ac:dyDescent="0.2">
      <c r="A616" s="32">
        <v>910177</v>
      </c>
      <c r="B616" s="27" t="s">
        <v>409</v>
      </c>
      <c r="C616" s="55">
        <v>13.723500000000001</v>
      </c>
      <c r="D616" s="55">
        <v>6.1755750000000011</v>
      </c>
      <c r="E616" s="28" t="s">
        <v>8</v>
      </c>
      <c r="F616" s="55"/>
      <c r="G616" s="29">
        <v>44652</v>
      </c>
      <c r="H616" s="30">
        <v>44926</v>
      </c>
    </row>
    <row r="617" spans="1:8" x14ac:dyDescent="0.2">
      <c r="A617" s="32">
        <v>920013</v>
      </c>
      <c r="B617" s="27" t="s">
        <v>410</v>
      </c>
      <c r="C617" s="55">
        <v>8.3580000000000005</v>
      </c>
      <c r="D617" s="55">
        <v>3.7611000000000003</v>
      </c>
      <c r="E617" s="28" t="s">
        <v>960</v>
      </c>
      <c r="F617" s="55">
        <v>3.4978230000000003</v>
      </c>
      <c r="G617" s="29">
        <v>44652</v>
      </c>
      <c r="H617" s="30">
        <v>44926</v>
      </c>
    </row>
    <row r="618" spans="1:8" x14ac:dyDescent="0.2">
      <c r="A618" s="32">
        <v>920015</v>
      </c>
      <c r="B618" s="27" t="s">
        <v>411</v>
      </c>
      <c r="C618" s="55">
        <v>7.9905000000000008</v>
      </c>
      <c r="D618" s="55">
        <v>3.5957250000000003</v>
      </c>
      <c r="E618" s="28" t="s">
        <v>960</v>
      </c>
      <c r="F618" s="55">
        <v>3.3440242500000004</v>
      </c>
      <c r="G618" s="29">
        <v>44652</v>
      </c>
      <c r="H618" s="30">
        <v>44926</v>
      </c>
    </row>
    <row r="619" spans="1:8" x14ac:dyDescent="0.2">
      <c r="A619" s="32">
        <v>920019</v>
      </c>
      <c r="B619" s="27" t="s">
        <v>412</v>
      </c>
      <c r="C619" s="55">
        <v>2.8560000000000003</v>
      </c>
      <c r="D619" s="55">
        <v>1.2852000000000001</v>
      </c>
      <c r="E619" s="28" t="s">
        <v>954</v>
      </c>
      <c r="F619" s="55">
        <v>1.1952360000000002</v>
      </c>
      <c r="G619" s="29">
        <v>44652</v>
      </c>
      <c r="H619" s="30">
        <v>44926</v>
      </c>
    </row>
    <row r="620" spans="1:8" x14ac:dyDescent="0.2">
      <c r="A620" s="32">
        <v>920023</v>
      </c>
      <c r="B620" s="27" t="s">
        <v>413</v>
      </c>
      <c r="C620" s="55">
        <v>1.2075</v>
      </c>
      <c r="D620" s="55">
        <v>0.54337500000000005</v>
      </c>
      <c r="E620" s="28" t="s">
        <v>954</v>
      </c>
      <c r="F620" s="55">
        <v>0.50533875000000006</v>
      </c>
      <c r="G620" s="29">
        <v>44652</v>
      </c>
      <c r="H620" s="30">
        <v>44926</v>
      </c>
    </row>
    <row r="621" spans="1:8" x14ac:dyDescent="0.2">
      <c r="A621" s="32">
        <v>920026</v>
      </c>
      <c r="B621" s="27" t="s">
        <v>414</v>
      </c>
      <c r="C621" s="55">
        <v>22.449000000000002</v>
      </c>
      <c r="D621" s="55">
        <v>10.10205</v>
      </c>
      <c r="E621" s="28" t="s">
        <v>954</v>
      </c>
      <c r="F621" s="55">
        <v>9.3949065000000012</v>
      </c>
      <c r="G621" s="29">
        <v>44652</v>
      </c>
      <c r="H621" s="30">
        <v>44926</v>
      </c>
    </row>
    <row r="622" spans="1:8" x14ac:dyDescent="0.2">
      <c r="A622" s="32">
        <v>920028</v>
      </c>
      <c r="B622" s="27" t="s">
        <v>415</v>
      </c>
      <c r="C622" s="55">
        <v>9.240000000000002</v>
      </c>
      <c r="D622" s="55">
        <v>4.1580000000000013</v>
      </c>
      <c r="E622" s="28" t="s">
        <v>954</v>
      </c>
      <c r="F622" s="55">
        <v>3.8669400000000014</v>
      </c>
      <c r="G622" s="29">
        <v>44652</v>
      </c>
      <c r="H622" s="30">
        <v>44926</v>
      </c>
    </row>
    <row r="623" spans="1:8" x14ac:dyDescent="0.2">
      <c r="A623" s="32">
        <v>920029</v>
      </c>
      <c r="B623" s="27" t="s">
        <v>416</v>
      </c>
      <c r="C623" s="55">
        <v>23</v>
      </c>
      <c r="D623" s="55">
        <v>10.35</v>
      </c>
      <c r="E623" s="28" t="s">
        <v>8</v>
      </c>
      <c r="F623" s="55">
        <v>9.6255000000000006</v>
      </c>
      <c r="G623" s="29">
        <v>44652</v>
      </c>
      <c r="H623" s="30">
        <v>44926</v>
      </c>
    </row>
    <row r="624" spans="1:8" x14ac:dyDescent="0.2">
      <c r="A624" s="32">
        <v>920030</v>
      </c>
      <c r="B624" s="27" t="s">
        <v>417</v>
      </c>
      <c r="C624" s="55">
        <v>29.662500000000001</v>
      </c>
      <c r="D624" s="55">
        <v>13.348125000000001</v>
      </c>
      <c r="E624" s="28" t="s">
        <v>954</v>
      </c>
      <c r="F624" s="55">
        <v>12.413756250000002</v>
      </c>
      <c r="G624" s="29">
        <v>44652</v>
      </c>
      <c r="H624" s="30">
        <v>44926</v>
      </c>
    </row>
    <row r="625" spans="1:8" x14ac:dyDescent="0.2">
      <c r="A625" s="32">
        <v>920032</v>
      </c>
      <c r="B625" s="27" t="s">
        <v>418</v>
      </c>
      <c r="C625" s="55">
        <v>60.900000000000006</v>
      </c>
      <c r="D625" s="55">
        <v>27.405000000000005</v>
      </c>
      <c r="E625" s="28" t="s">
        <v>954</v>
      </c>
      <c r="F625" s="55">
        <v>25.486650000000004</v>
      </c>
      <c r="G625" s="29">
        <v>44652</v>
      </c>
      <c r="H625" s="30">
        <v>44926</v>
      </c>
    </row>
    <row r="626" spans="1:8" x14ac:dyDescent="0.2">
      <c r="A626" s="32">
        <v>920038</v>
      </c>
      <c r="B626" s="27" t="s">
        <v>419</v>
      </c>
      <c r="C626" s="55">
        <v>8.19</v>
      </c>
      <c r="D626" s="55">
        <v>3.6854999999999998</v>
      </c>
      <c r="E626" s="28" t="s">
        <v>954</v>
      </c>
      <c r="F626" s="55">
        <v>3.4275150000000001</v>
      </c>
      <c r="G626" s="29">
        <v>44652</v>
      </c>
      <c r="H626" s="30">
        <v>44926</v>
      </c>
    </row>
    <row r="627" spans="1:8" x14ac:dyDescent="0.2">
      <c r="A627" s="32">
        <v>920039</v>
      </c>
      <c r="B627" s="27" t="s">
        <v>420</v>
      </c>
      <c r="C627" s="55">
        <v>13.566000000000001</v>
      </c>
      <c r="D627" s="55">
        <v>6.1047000000000002</v>
      </c>
      <c r="E627" s="28" t="s">
        <v>954</v>
      </c>
      <c r="F627" s="55">
        <v>5.6773710000000008</v>
      </c>
      <c r="G627" s="29">
        <v>44652</v>
      </c>
      <c r="H627" s="30">
        <v>44926</v>
      </c>
    </row>
    <row r="628" spans="1:8" x14ac:dyDescent="0.2">
      <c r="A628" s="32">
        <v>920042</v>
      </c>
      <c r="B628" s="27" t="s">
        <v>1232</v>
      </c>
      <c r="C628" s="55">
        <v>38.073</v>
      </c>
      <c r="D628" s="55">
        <v>17.132850000000001</v>
      </c>
      <c r="E628" s="28" t="s">
        <v>8</v>
      </c>
      <c r="F628" s="55"/>
      <c r="G628" s="29">
        <v>44652</v>
      </c>
      <c r="H628" s="30">
        <v>44926</v>
      </c>
    </row>
    <row r="629" spans="1:8" x14ac:dyDescent="0.2">
      <c r="A629" s="32">
        <v>920043</v>
      </c>
      <c r="B629" s="27" t="s">
        <v>421</v>
      </c>
      <c r="C629" s="55">
        <v>1.0289999999999999</v>
      </c>
      <c r="D629" s="55">
        <v>0.46304999999999996</v>
      </c>
      <c r="E629" s="28" t="s">
        <v>960</v>
      </c>
      <c r="F629" s="55">
        <v>0.43063649999999998</v>
      </c>
      <c r="G629" s="29">
        <v>44652</v>
      </c>
      <c r="H629" s="30">
        <v>44926</v>
      </c>
    </row>
    <row r="630" spans="1:8" x14ac:dyDescent="0.2">
      <c r="A630" s="32">
        <v>920044</v>
      </c>
      <c r="B630" s="27" t="s">
        <v>422</v>
      </c>
      <c r="C630" s="55">
        <v>1.302</v>
      </c>
      <c r="D630" s="55">
        <v>0.58590000000000009</v>
      </c>
      <c r="E630" s="28" t="s">
        <v>960</v>
      </c>
      <c r="F630" s="55">
        <v>0.54488700000000012</v>
      </c>
      <c r="G630" s="29">
        <v>44652</v>
      </c>
      <c r="H630" s="30">
        <v>44926</v>
      </c>
    </row>
    <row r="631" spans="1:8" x14ac:dyDescent="0.2">
      <c r="A631" s="32">
        <v>920045</v>
      </c>
      <c r="B631" s="27" t="s">
        <v>423</v>
      </c>
      <c r="C631" s="55">
        <v>0.97650000000000015</v>
      </c>
      <c r="D631" s="55">
        <v>0.43942500000000007</v>
      </c>
      <c r="E631" s="28" t="s">
        <v>960</v>
      </c>
      <c r="F631" s="55">
        <v>0.40866525000000009</v>
      </c>
      <c r="G631" s="29">
        <v>44652</v>
      </c>
      <c r="H631" s="30">
        <v>44926</v>
      </c>
    </row>
    <row r="632" spans="1:8" x14ac:dyDescent="0.2">
      <c r="A632" s="32">
        <v>920046</v>
      </c>
      <c r="B632" s="27" t="s">
        <v>424</v>
      </c>
      <c r="C632" s="55">
        <v>1.2284999999999999</v>
      </c>
      <c r="D632" s="55">
        <v>0.55282500000000001</v>
      </c>
      <c r="E632" s="28" t="s">
        <v>960</v>
      </c>
      <c r="F632" s="55">
        <v>0.51412725000000004</v>
      </c>
      <c r="G632" s="29">
        <v>44652</v>
      </c>
      <c r="H632" s="30">
        <v>44926</v>
      </c>
    </row>
    <row r="633" spans="1:8" x14ac:dyDescent="0.2">
      <c r="A633" s="32">
        <v>920047</v>
      </c>
      <c r="B633" s="27" t="s">
        <v>425</v>
      </c>
      <c r="C633" s="55">
        <v>0.43049999999999999</v>
      </c>
      <c r="D633" s="55">
        <v>0.19372500000000001</v>
      </c>
      <c r="E633" s="28" t="s">
        <v>960</v>
      </c>
      <c r="F633" s="55">
        <v>0.18016425000000003</v>
      </c>
      <c r="G633" s="29">
        <v>44652</v>
      </c>
      <c r="H633" s="30">
        <v>44926</v>
      </c>
    </row>
    <row r="634" spans="1:8" x14ac:dyDescent="0.2">
      <c r="A634" s="26">
        <v>920048</v>
      </c>
      <c r="B634" s="27" t="s">
        <v>426</v>
      </c>
      <c r="C634" s="55">
        <v>2.3310000000000004</v>
      </c>
      <c r="D634" s="55">
        <v>1.0489500000000003</v>
      </c>
      <c r="E634" s="28" t="s">
        <v>954</v>
      </c>
      <c r="F634" s="55">
        <v>0.97552350000000032</v>
      </c>
      <c r="G634" s="29">
        <v>44652</v>
      </c>
      <c r="H634" s="30">
        <v>44926</v>
      </c>
    </row>
    <row r="635" spans="1:8" x14ac:dyDescent="0.2">
      <c r="A635" s="26">
        <v>920049</v>
      </c>
      <c r="B635" s="27" t="s">
        <v>427</v>
      </c>
      <c r="C635" s="55">
        <v>2.3310000000000004</v>
      </c>
      <c r="D635" s="55">
        <v>1.0489500000000003</v>
      </c>
      <c r="E635" s="28" t="s">
        <v>960</v>
      </c>
      <c r="F635" s="55">
        <v>0.97552350000000032</v>
      </c>
      <c r="G635" s="29">
        <v>44652</v>
      </c>
      <c r="H635" s="30">
        <v>44926</v>
      </c>
    </row>
    <row r="636" spans="1:8" x14ac:dyDescent="0.2">
      <c r="A636" s="26">
        <v>920050</v>
      </c>
      <c r="B636" s="27" t="s">
        <v>428</v>
      </c>
      <c r="C636" s="55">
        <v>2.3310000000000004</v>
      </c>
      <c r="D636" s="55">
        <v>1.0489500000000003</v>
      </c>
      <c r="E636" s="28" t="s">
        <v>960</v>
      </c>
      <c r="F636" s="55">
        <v>0.97552350000000032</v>
      </c>
      <c r="G636" s="29">
        <v>44652</v>
      </c>
      <c r="H636" s="30">
        <v>44926</v>
      </c>
    </row>
    <row r="637" spans="1:8" x14ac:dyDescent="0.2">
      <c r="A637" s="32">
        <v>920051</v>
      </c>
      <c r="B637" s="27" t="s">
        <v>429</v>
      </c>
      <c r="C637" s="55">
        <v>0.92400000000000004</v>
      </c>
      <c r="D637" s="55">
        <v>0.4158</v>
      </c>
      <c r="E637" s="28" t="s">
        <v>961</v>
      </c>
      <c r="F637" s="55">
        <v>0.38669400000000004</v>
      </c>
      <c r="G637" s="29">
        <v>44652</v>
      </c>
      <c r="H637" s="30">
        <v>44926</v>
      </c>
    </row>
    <row r="638" spans="1:8" x14ac:dyDescent="0.2">
      <c r="A638" s="26">
        <v>920053</v>
      </c>
      <c r="B638" s="27" t="s">
        <v>430</v>
      </c>
      <c r="C638" s="55">
        <v>5</v>
      </c>
      <c r="D638" s="55">
        <v>2.25</v>
      </c>
      <c r="E638" s="28" t="s">
        <v>960</v>
      </c>
      <c r="F638" s="55">
        <v>2.0925000000000002</v>
      </c>
      <c r="G638" s="29">
        <v>44652</v>
      </c>
      <c r="H638" s="30">
        <v>44926</v>
      </c>
    </row>
    <row r="639" spans="1:8" x14ac:dyDescent="0.2">
      <c r="A639" s="26">
        <v>920054</v>
      </c>
      <c r="B639" s="27" t="s">
        <v>431</v>
      </c>
      <c r="C639" s="55">
        <v>3.34</v>
      </c>
      <c r="D639" s="55">
        <v>1.5029999999999999</v>
      </c>
      <c r="E639" s="28" t="s">
        <v>960</v>
      </c>
      <c r="F639" s="55">
        <v>1.3977899999999999</v>
      </c>
      <c r="G639" s="29">
        <v>44652</v>
      </c>
      <c r="H639" s="30">
        <v>44926</v>
      </c>
    </row>
    <row r="640" spans="1:8" x14ac:dyDescent="0.2">
      <c r="A640" s="32">
        <v>920056</v>
      </c>
      <c r="B640" s="27" t="s">
        <v>432</v>
      </c>
      <c r="C640" s="55">
        <v>1.9</v>
      </c>
      <c r="D640" s="55">
        <v>0.85499999999999998</v>
      </c>
      <c r="E640" s="28" t="s">
        <v>960</v>
      </c>
      <c r="F640" s="55">
        <v>0.79515000000000002</v>
      </c>
      <c r="G640" s="29">
        <v>44652</v>
      </c>
      <c r="H640" s="30">
        <v>44926</v>
      </c>
    </row>
    <row r="641" spans="1:8" x14ac:dyDescent="0.2">
      <c r="A641" s="26">
        <v>920057</v>
      </c>
      <c r="B641" s="27" t="s">
        <v>959</v>
      </c>
      <c r="C641" s="55">
        <v>4.5990000000000002</v>
      </c>
      <c r="D641" s="55">
        <v>2.06955</v>
      </c>
      <c r="E641" s="28" t="s">
        <v>954</v>
      </c>
      <c r="F641" s="55">
        <v>1.9246815000000002</v>
      </c>
      <c r="G641" s="29">
        <v>44652</v>
      </c>
      <c r="H641" s="30">
        <v>44926</v>
      </c>
    </row>
    <row r="642" spans="1:8" x14ac:dyDescent="0.2">
      <c r="A642" s="26">
        <v>920058</v>
      </c>
      <c r="B642" s="27" t="s">
        <v>433</v>
      </c>
      <c r="C642" s="55">
        <v>4.5990000000000002</v>
      </c>
      <c r="D642" s="55">
        <v>2.06955</v>
      </c>
      <c r="E642" s="28" t="s">
        <v>954</v>
      </c>
      <c r="F642" s="55">
        <v>1.9246815000000002</v>
      </c>
      <c r="G642" s="29">
        <v>44652</v>
      </c>
      <c r="H642" s="30">
        <v>44926</v>
      </c>
    </row>
    <row r="643" spans="1:8" x14ac:dyDescent="0.2">
      <c r="A643" s="26">
        <v>920059</v>
      </c>
      <c r="B643" s="27" t="s">
        <v>434</v>
      </c>
      <c r="C643" s="55">
        <v>4.5990000000000002</v>
      </c>
      <c r="D643" s="55">
        <v>2.06955</v>
      </c>
      <c r="E643" s="28" t="s">
        <v>954</v>
      </c>
      <c r="F643" s="55">
        <v>1.9246815000000002</v>
      </c>
      <c r="G643" s="29">
        <v>44652</v>
      </c>
      <c r="H643" s="30">
        <v>44926</v>
      </c>
    </row>
    <row r="644" spans="1:8" x14ac:dyDescent="0.2">
      <c r="A644" s="32">
        <v>920060</v>
      </c>
      <c r="B644" s="27" t="s">
        <v>435</v>
      </c>
      <c r="C644" s="55">
        <v>0.97650000000000015</v>
      </c>
      <c r="D644" s="55">
        <v>0.43942500000000007</v>
      </c>
      <c r="E644" s="28" t="s">
        <v>961</v>
      </c>
      <c r="F644" s="55">
        <v>0.40866525000000009</v>
      </c>
      <c r="G644" s="29">
        <v>44652</v>
      </c>
      <c r="H644" s="30">
        <v>44926</v>
      </c>
    </row>
    <row r="645" spans="1:8" x14ac:dyDescent="0.2">
      <c r="A645" s="32">
        <v>920062</v>
      </c>
      <c r="B645" s="27" t="s">
        <v>436</v>
      </c>
      <c r="C645" s="55">
        <v>33.5</v>
      </c>
      <c r="D645" s="55">
        <v>15.075000000000001</v>
      </c>
      <c r="E645" s="28" t="s">
        <v>8</v>
      </c>
      <c r="F645" s="55"/>
      <c r="G645" s="29">
        <v>44652</v>
      </c>
      <c r="H645" s="30">
        <v>44926</v>
      </c>
    </row>
    <row r="646" spans="1:8" x14ac:dyDescent="0.2">
      <c r="A646" s="32">
        <v>920063</v>
      </c>
      <c r="B646" s="27" t="s">
        <v>437</v>
      </c>
      <c r="C646" s="55">
        <v>17.739999999999998</v>
      </c>
      <c r="D646" s="55">
        <v>7.9829999999999997</v>
      </c>
      <c r="E646" s="28" t="s">
        <v>954</v>
      </c>
      <c r="F646" s="55">
        <v>7.4241900000000003</v>
      </c>
      <c r="G646" s="29">
        <v>44652</v>
      </c>
      <c r="H646" s="30">
        <v>44926</v>
      </c>
    </row>
    <row r="647" spans="1:8" x14ac:dyDescent="0.2">
      <c r="A647" s="32">
        <v>920067</v>
      </c>
      <c r="B647" s="27" t="s">
        <v>438</v>
      </c>
      <c r="C647" s="55">
        <v>19.850000000000001</v>
      </c>
      <c r="D647" s="55">
        <v>8.932500000000001</v>
      </c>
      <c r="E647" s="28" t="s">
        <v>8</v>
      </c>
      <c r="F647" s="55"/>
      <c r="G647" s="29">
        <v>44652</v>
      </c>
      <c r="H647" s="30">
        <v>44926</v>
      </c>
    </row>
    <row r="648" spans="1:8" x14ac:dyDescent="0.2">
      <c r="A648" s="32">
        <v>920068</v>
      </c>
      <c r="B648" s="27" t="s">
        <v>1215</v>
      </c>
      <c r="C648" s="55">
        <v>86</v>
      </c>
      <c r="D648" s="55">
        <v>38.700000000000003</v>
      </c>
      <c r="E648" s="28" t="s">
        <v>8</v>
      </c>
      <c r="F648" s="55"/>
      <c r="G648" s="29">
        <v>44652</v>
      </c>
      <c r="H648" s="30">
        <v>44926</v>
      </c>
    </row>
    <row r="649" spans="1:8" x14ac:dyDescent="0.2">
      <c r="A649" s="32">
        <v>920071</v>
      </c>
      <c r="B649" s="27" t="s">
        <v>439</v>
      </c>
      <c r="C649" s="55">
        <v>21.451499999999999</v>
      </c>
      <c r="D649" s="55">
        <v>9.6531749999999992</v>
      </c>
      <c r="E649" s="28" t="s">
        <v>954</v>
      </c>
      <c r="F649" s="55">
        <v>8.9774527499999994</v>
      </c>
      <c r="G649" s="29">
        <v>44652</v>
      </c>
      <c r="H649" s="30">
        <v>44926</v>
      </c>
    </row>
    <row r="650" spans="1:8" x14ac:dyDescent="0.2">
      <c r="A650" s="32">
        <v>920073</v>
      </c>
      <c r="B650" s="27" t="s">
        <v>440</v>
      </c>
      <c r="C650" s="55">
        <v>0.70350000000000013</v>
      </c>
      <c r="D650" s="55">
        <v>0.31657500000000005</v>
      </c>
      <c r="E650" s="28" t="s">
        <v>960</v>
      </c>
      <c r="F650" s="55">
        <v>0.29441475000000006</v>
      </c>
      <c r="G650" s="29">
        <v>44652</v>
      </c>
      <c r="H650" s="30">
        <v>44926</v>
      </c>
    </row>
    <row r="651" spans="1:8" x14ac:dyDescent="0.2">
      <c r="A651" s="32">
        <v>920075</v>
      </c>
      <c r="B651" s="27" t="s">
        <v>441</v>
      </c>
      <c r="C651" s="55">
        <v>4.8930000000000007</v>
      </c>
      <c r="D651" s="55">
        <v>2.2018500000000003</v>
      </c>
      <c r="E651" s="28" t="s">
        <v>954</v>
      </c>
      <c r="F651" s="55">
        <v>2.0477205000000005</v>
      </c>
      <c r="G651" s="29">
        <v>44652</v>
      </c>
      <c r="H651" s="30">
        <v>44926</v>
      </c>
    </row>
    <row r="652" spans="1:8" x14ac:dyDescent="0.2">
      <c r="A652" s="32">
        <v>920076</v>
      </c>
      <c r="B652" s="27" t="s">
        <v>442</v>
      </c>
      <c r="C652" s="55">
        <v>4.5885000000000007</v>
      </c>
      <c r="D652" s="55">
        <v>2.0648250000000004</v>
      </c>
      <c r="E652" s="28" t="s">
        <v>954</v>
      </c>
      <c r="F652" s="55">
        <v>1.9202872500000003</v>
      </c>
      <c r="G652" s="29">
        <v>44652</v>
      </c>
      <c r="H652" s="30">
        <v>44926</v>
      </c>
    </row>
    <row r="653" spans="1:8" x14ac:dyDescent="0.2">
      <c r="A653" s="32">
        <v>920077</v>
      </c>
      <c r="B653" s="27" t="s">
        <v>443</v>
      </c>
      <c r="C653" s="55">
        <v>9.8805000000000014</v>
      </c>
      <c r="D653" s="55">
        <v>4.446225000000001</v>
      </c>
      <c r="E653" s="28" t="s">
        <v>954</v>
      </c>
      <c r="F653" s="55">
        <v>4.1349892500000012</v>
      </c>
      <c r="G653" s="29">
        <v>44652</v>
      </c>
      <c r="H653" s="30">
        <v>44926</v>
      </c>
    </row>
    <row r="654" spans="1:8" x14ac:dyDescent="0.2">
      <c r="A654" s="32">
        <v>920078</v>
      </c>
      <c r="B654" s="27" t="s">
        <v>444</v>
      </c>
      <c r="C654" s="55">
        <v>13.314</v>
      </c>
      <c r="D654" s="55">
        <v>5.9912999999999998</v>
      </c>
      <c r="E654" s="28" t="s">
        <v>954</v>
      </c>
      <c r="F654" s="55">
        <v>5.5719089999999998</v>
      </c>
      <c r="G654" s="29">
        <v>44652</v>
      </c>
      <c r="H654" s="30">
        <v>44926</v>
      </c>
    </row>
    <row r="655" spans="1:8" x14ac:dyDescent="0.2">
      <c r="A655" s="32">
        <v>920079</v>
      </c>
      <c r="B655" s="27" t="s">
        <v>445</v>
      </c>
      <c r="C655" s="55">
        <v>1.6275000000000002</v>
      </c>
      <c r="D655" s="55">
        <v>0.73237500000000011</v>
      </c>
      <c r="E655" s="28" t="s">
        <v>961</v>
      </c>
      <c r="F655" s="55">
        <v>0.68110875000000015</v>
      </c>
      <c r="G655" s="29">
        <v>44652</v>
      </c>
      <c r="H655" s="30">
        <v>44926</v>
      </c>
    </row>
    <row r="656" spans="1:8" x14ac:dyDescent="0.2">
      <c r="A656" s="26">
        <v>920080</v>
      </c>
      <c r="B656" s="27" t="s">
        <v>446</v>
      </c>
      <c r="C656" s="55">
        <v>1.6170000000000002</v>
      </c>
      <c r="D656" s="55">
        <v>0.72765000000000013</v>
      </c>
      <c r="E656" s="28" t="s">
        <v>961</v>
      </c>
      <c r="F656" s="55">
        <v>0.67671450000000011</v>
      </c>
      <c r="G656" s="29">
        <v>44652</v>
      </c>
      <c r="H656" s="30">
        <v>44926</v>
      </c>
    </row>
    <row r="657" spans="1:8" x14ac:dyDescent="0.2">
      <c r="A657" s="26">
        <v>920081</v>
      </c>
      <c r="B657" s="27" t="s">
        <v>447</v>
      </c>
      <c r="C657" s="55">
        <v>2.6460000000000004</v>
      </c>
      <c r="D657" s="55">
        <v>1.1907000000000001</v>
      </c>
      <c r="E657" s="28" t="s">
        <v>961</v>
      </c>
      <c r="F657" s="55">
        <v>1.1073510000000002</v>
      </c>
      <c r="G657" s="29">
        <v>44652</v>
      </c>
      <c r="H657" s="30">
        <v>44926</v>
      </c>
    </row>
    <row r="658" spans="1:8" x14ac:dyDescent="0.2">
      <c r="A658" s="26">
        <v>920082</v>
      </c>
      <c r="B658" s="27" t="s">
        <v>448</v>
      </c>
      <c r="C658" s="55">
        <v>2.94</v>
      </c>
      <c r="D658" s="55">
        <v>1.323</v>
      </c>
      <c r="E658" s="28" t="s">
        <v>961</v>
      </c>
      <c r="F658" s="55">
        <v>1.2303900000000001</v>
      </c>
      <c r="G658" s="29">
        <v>44652</v>
      </c>
      <c r="H658" s="30">
        <v>44926</v>
      </c>
    </row>
    <row r="659" spans="1:8" x14ac:dyDescent="0.2">
      <c r="A659" s="26">
        <v>920083</v>
      </c>
      <c r="B659" s="27" t="s">
        <v>449</v>
      </c>
      <c r="C659" s="55">
        <v>1.9215000000000002</v>
      </c>
      <c r="D659" s="55">
        <v>0.86467500000000008</v>
      </c>
      <c r="E659" s="28" t="s">
        <v>961</v>
      </c>
      <c r="F659" s="55">
        <v>0.80414775000000016</v>
      </c>
      <c r="G659" s="29">
        <v>44652</v>
      </c>
      <c r="H659" s="30">
        <v>44926</v>
      </c>
    </row>
    <row r="660" spans="1:8" x14ac:dyDescent="0.2">
      <c r="A660" s="26">
        <v>920084</v>
      </c>
      <c r="B660" s="27" t="s">
        <v>450</v>
      </c>
      <c r="C660" s="55">
        <v>1.9215000000000002</v>
      </c>
      <c r="D660" s="55">
        <v>0.86467500000000008</v>
      </c>
      <c r="E660" s="28" t="s">
        <v>961</v>
      </c>
      <c r="F660" s="55">
        <v>0.80414775000000016</v>
      </c>
      <c r="G660" s="29">
        <v>44652</v>
      </c>
      <c r="H660" s="30">
        <v>44926</v>
      </c>
    </row>
    <row r="661" spans="1:8" x14ac:dyDescent="0.2">
      <c r="A661" s="32">
        <v>920088</v>
      </c>
      <c r="B661" s="27" t="s">
        <v>451</v>
      </c>
      <c r="C661" s="55">
        <v>0.81900000000000006</v>
      </c>
      <c r="D661" s="55">
        <v>0.36855000000000004</v>
      </c>
      <c r="E661" s="28" t="s">
        <v>960</v>
      </c>
      <c r="F661" s="55">
        <v>0.34275150000000004</v>
      </c>
      <c r="G661" s="29">
        <v>44652</v>
      </c>
      <c r="H661" s="30">
        <v>44926</v>
      </c>
    </row>
    <row r="662" spans="1:8" x14ac:dyDescent="0.2">
      <c r="A662" s="32">
        <v>920103</v>
      </c>
      <c r="B662" s="27" t="s">
        <v>452</v>
      </c>
      <c r="C662" s="55">
        <v>7.7069999999999999</v>
      </c>
      <c r="D662" s="55">
        <v>3.4681500000000001</v>
      </c>
      <c r="E662" s="28" t="s">
        <v>960</v>
      </c>
      <c r="F662" s="55">
        <v>3.2253795000000003</v>
      </c>
      <c r="G662" s="29">
        <v>44652</v>
      </c>
      <c r="H662" s="30">
        <v>44926</v>
      </c>
    </row>
    <row r="663" spans="1:8" x14ac:dyDescent="0.2">
      <c r="A663" s="32">
        <v>920104</v>
      </c>
      <c r="B663" s="27" t="s">
        <v>453</v>
      </c>
      <c r="C663" s="55">
        <v>10.65</v>
      </c>
      <c r="D663" s="55">
        <v>4.7925000000000004</v>
      </c>
      <c r="E663" s="28" t="s">
        <v>960</v>
      </c>
      <c r="F663" s="55">
        <v>4.4570250000000007</v>
      </c>
      <c r="G663" s="29">
        <v>44652</v>
      </c>
      <c r="H663" s="30">
        <v>44926</v>
      </c>
    </row>
    <row r="664" spans="1:8" x14ac:dyDescent="0.2">
      <c r="A664" s="32">
        <v>920107</v>
      </c>
      <c r="B664" s="27" t="s">
        <v>454</v>
      </c>
      <c r="C664" s="55">
        <v>2.4700000000000002</v>
      </c>
      <c r="D664" s="55">
        <v>1.1115000000000002</v>
      </c>
      <c r="E664" s="28" t="s">
        <v>960</v>
      </c>
      <c r="F664" s="55">
        <v>1.0336950000000003</v>
      </c>
      <c r="G664" s="29">
        <v>44652</v>
      </c>
      <c r="H664" s="30">
        <v>44926</v>
      </c>
    </row>
    <row r="665" spans="1:8" x14ac:dyDescent="0.2">
      <c r="A665" s="26">
        <v>920109</v>
      </c>
      <c r="B665" s="27" t="s">
        <v>455</v>
      </c>
      <c r="C665" s="55">
        <v>2.9505000000000003</v>
      </c>
      <c r="D665" s="55">
        <v>1.3277250000000003</v>
      </c>
      <c r="E665" s="28" t="s">
        <v>960</v>
      </c>
      <c r="F665" s="55">
        <v>1.2347842500000004</v>
      </c>
      <c r="G665" s="29">
        <v>44652</v>
      </c>
      <c r="H665" s="30">
        <v>44926</v>
      </c>
    </row>
    <row r="666" spans="1:8" x14ac:dyDescent="0.2">
      <c r="A666" s="26">
        <v>920110</v>
      </c>
      <c r="B666" s="27" t="s">
        <v>456</v>
      </c>
      <c r="C666" s="55">
        <v>2.9715000000000003</v>
      </c>
      <c r="D666" s="55">
        <v>1.3371750000000002</v>
      </c>
      <c r="E666" s="28" t="s">
        <v>960</v>
      </c>
      <c r="F666" s="55">
        <v>1.2435727500000002</v>
      </c>
      <c r="G666" s="29">
        <v>44652</v>
      </c>
      <c r="H666" s="30">
        <v>44926</v>
      </c>
    </row>
    <row r="667" spans="1:8" x14ac:dyDescent="0.2">
      <c r="A667" s="26">
        <v>920111</v>
      </c>
      <c r="B667" s="27" t="s">
        <v>457</v>
      </c>
      <c r="C667" s="55">
        <v>3.1395000000000004</v>
      </c>
      <c r="D667" s="55">
        <v>1.4127750000000001</v>
      </c>
      <c r="E667" s="28" t="s">
        <v>954</v>
      </c>
      <c r="F667" s="55">
        <v>1.3138807500000003</v>
      </c>
      <c r="G667" s="29">
        <v>44652</v>
      </c>
      <c r="H667" s="30">
        <v>44926</v>
      </c>
    </row>
    <row r="668" spans="1:8" x14ac:dyDescent="0.2">
      <c r="A668" s="26">
        <v>920112</v>
      </c>
      <c r="B668" s="27" t="s">
        <v>458</v>
      </c>
      <c r="C668" s="55">
        <v>4.0529999999999999</v>
      </c>
      <c r="D668" s="55">
        <v>1.82385</v>
      </c>
      <c r="E668" s="28" t="s">
        <v>954</v>
      </c>
      <c r="F668" s="55">
        <v>1.6961805000000001</v>
      </c>
      <c r="G668" s="29">
        <v>44652</v>
      </c>
      <c r="H668" s="30">
        <v>44926</v>
      </c>
    </row>
    <row r="669" spans="1:8" x14ac:dyDescent="0.2">
      <c r="A669" s="26">
        <v>920113</v>
      </c>
      <c r="B669" s="27" t="s">
        <v>459</v>
      </c>
      <c r="C669" s="55">
        <v>6.4680000000000009</v>
      </c>
      <c r="D669" s="55">
        <v>2.9106000000000005</v>
      </c>
      <c r="E669" s="28" t="s">
        <v>960</v>
      </c>
      <c r="F669" s="55">
        <v>2.7068580000000004</v>
      </c>
      <c r="G669" s="29">
        <v>44652</v>
      </c>
      <c r="H669" s="30">
        <v>44926</v>
      </c>
    </row>
    <row r="670" spans="1:8" x14ac:dyDescent="0.2">
      <c r="A670" s="31">
        <v>920115</v>
      </c>
      <c r="B670" s="27" t="s">
        <v>460</v>
      </c>
      <c r="C670" s="55">
        <v>2.2050000000000001</v>
      </c>
      <c r="D670" s="55">
        <v>0.99225000000000008</v>
      </c>
      <c r="E670" s="28" t="s">
        <v>954</v>
      </c>
      <c r="F670" s="55">
        <v>0.92279250000000013</v>
      </c>
      <c r="G670" s="29">
        <v>44652</v>
      </c>
      <c r="H670" s="30">
        <v>44926</v>
      </c>
    </row>
    <row r="671" spans="1:8" x14ac:dyDescent="0.2">
      <c r="A671" s="26">
        <v>920116</v>
      </c>
      <c r="B671" s="27" t="s">
        <v>461</v>
      </c>
      <c r="C671" s="55">
        <v>3.8955000000000002</v>
      </c>
      <c r="D671" s="55">
        <v>1.7529750000000002</v>
      </c>
      <c r="E671" s="28" t="s">
        <v>960</v>
      </c>
      <c r="F671" s="55">
        <v>1.6302667500000003</v>
      </c>
      <c r="G671" s="29">
        <v>44652</v>
      </c>
      <c r="H671" s="30">
        <v>44926</v>
      </c>
    </row>
    <row r="672" spans="1:8" x14ac:dyDescent="0.2">
      <c r="A672" s="26">
        <v>920117</v>
      </c>
      <c r="B672" s="27" t="s">
        <v>462</v>
      </c>
      <c r="C672" s="55">
        <v>3.9165000000000001</v>
      </c>
      <c r="D672" s="55">
        <v>1.7624250000000001</v>
      </c>
      <c r="E672" s="28" t="s">
        <v>960</v>
      </c>
      <c r="F672" s="55">
        <v>1.6390552500000002</v>
      </c>
      <c r="G672" s="29">
        <v>44652</v>
      </c>
      <c r="H672" s="30">
        <v>44926</v>
      </c>
    </row>
    <row r="673" spans="1:8" x14ac:dyDescent="0.2">
      <c r="A673" s="32">
        <v>920118</v>
      </c>
      <c r="B673" s="27" t="s">
        <v>463</v>
      </c>
      <c r="C673" s="55">
        <v>0.89249999999999996</v>
      </c>
      <c r="D673" s="55">
        <v>0.40162500000000001</v>
      </c>
      <c r="E673" s="28" t="s">
        <v>961</v>
      </c>
      <c r="F673" s="55">
        <v>0.37351125000000002</v>
      </c>
      <c r="G673" s="29">
        <v>44652</v>
      </c>
      <c r="H673" s="30">
        <v>44926</v>
      </c>
    </row>
    <row r="674" spans="1:8" x14ac:dyDescent="0.2">
      <c r="A674" s="32">
        <v>920119</v>
      </c>
      <c r="B674" s="27" t="s">
        <v>464</v>
      </c>
      <c r="C674" s="55">
        <v>1.0920000000000001</v>
      </c>
      <c r="D674" s="55">
        <v>0.49140000000000006</v>
      </c>
      <c r="E674" s="28" t="s">
        <v>961</v>
      </c>
      <c r="F674" s="55">
        <v>0.45700200000000007</v>
      </c>
      <c r="G674" s="29">
        <v>44652</v>
      </c>
      <c r="H674" s="30">
        <v>44926</v>
      </c>
    </row>
    <row r="675" spans="1:8" x14ac:dyDescent="0.2">
      <c r="A675" s="32">
        <v>920120</v>
      </c>
      <c r="B675" s="27" t="s">
        <v>465</v>
      </c>
      <c r="C675" s="55">
        <v>0.38850000000000001</v>
      </c>
      <c r="D675" s="55">
        <v>0.17482500000000001</v>
      </c>
      <c r="E675" s="28" t="s">
        <v>961</v>
      </c>
      <c r="F675" s="55">
        <v>0.16258725000000002</v>
      </c>
      <c r="G675" s="29">
        <v>44652</v>
      </c>
      <c r="H675" s="30">
        <v>44926</v>
      </c>
    </row>
    <row r="676" spans="1:8" x14ac:dyDescent="0.2">
      <c r="A676" s="32">
        <v>920121</v>
      </c>
      <c r="B676" s="27" t="s">
        <v>466</v>
      </c>
      <c r="C676" s="55">
        <v>0.34650000000000003</v>
      </c>
      <c r="D676" s="55">
        <v>0.15592500000000001</v>
      </c>
      <c r="E676" s="28" t="s">
        <v>961</v>
      </c>
      <c r="F676" s="55">
        <v>0.14501025000000001</v>
      </c>
      <c r="G676" s="29">
        <v>44652</v>
      </c>
      <c r="H676" s="30">
        <v>44926</v>
      </c>
    </row>
    <row r="677" spans="1:8" x14ac:dyDescent="0.2">
      <c r="A677" s="32">
        <v>920122</v>
      </c>
      <c r="B677" s="27" t="s">
        <v>467</v>
      </c>
      <c r="C677" s="55">
        <v>2.4</v>
      </c>
      <c r="D677" s="55">
        <v>1.08</v>
      </c>
      <c r="E677" s="28" t="s">
        <v>954</v>
      </c>
      <c r="F677" s="55">
        <v>1.0044000000000002</v>
      </c>
      <c r="G677" s="29">
        <v>44652</v>
      </c>
      <c r="H677" s="30">
        <v>44926</v>
      </c>
    </row>
    <row r="678" spans="1:8" x14ac:dyDescent="0.2">
      <c r="A678" s="32">
        <v>920123</v>
      </c>
      <c r="B678" s="27" t="s">
        <v>468</v>
      </c>
      <c r="C678" s="55">
        <v>0.59849999999999992</v>
      </c>
      <c r="D678" s="55">
        <v>0.26932499999999998</v>
      </c>
      <c r="E678" s="28" t="s">
        <v>961</v>
      </c>
      <c r="F678" s="55">
        <v>0.25047225000000001</v>
      </c>
      <c r="G678" s="29">
        <v>44652</v>
      </c>
      <c r="H678" s="30">
        <v>44926</v>
      </c>
    </row>
    <row r="679" spans="1:8" x14ac:dyDescent="0.2">
      <c r="A679" s="32">
        <v>920124</v>
      </c>
      <c r="B679" s="27" t="s">
        <v>469</v>
      </c>
      <c r="C679" s="55">
        <v>17.430000000000003</v>
      </c>
      <c r="D679" s="55">
        <v>7.8435000000000015</v>
      </c>
      <c r="E679" s="28" t="s">
        <v>961</v>
      </c>
      <c r="F679" s="55">
        <v>7.2944550000000019</v>
      </c>
      <c r="G679" s="29">
        <v>44652</v>
      </c>
      <c r="H679" s="30">
        <v>44926</v>
      </c>
    </row>
    <row r="680" spans="1:8" x14ac:dyDescent="0.2">
      <c r="A680" s="32">
        <v>920125</v>
      </c>
      <c r="B680" s="27" t="s">
        <v>470</v>
      </c>
      <c r="C680" s="55">
        <v>10.9</v>
      </c>
      <c r="D680" s="55">
        <v>4.9050000000000002</v>
      </c>
      <c r="E680" s="28" t="s">
        <v>960</v>
      </c>
      <c r="F680" s="55">
        <v>4.5616500000000002</v>
      </c>
      <c r="G680" s="29">
        <v>44652</v>
      </c>
      <c r="H680" s="30">
        <v>44926</v>
      </c>
    </row>
    <row r="681" spans="1:8" x14ac:dyDescent="0.2">
      <c r="A681" s="32">
        <v>920126</v>
      </c>
      <c r="B681" s="27" t="s">
        <v>471</v>
      </c>
      <c r="C681" s="55">
        <v>23.68</v>
      </c>
      <c r="D681" s="55">
        <v>10.656000000000001</v>
      </c>
      <c r="E681" s="28" t="s">
        <v>960</v>
      </c>
      <c r="F681" s="55">
        <v>9.9100800000000007</v>
      </c>
      <c r="G681" s="29">
        <v>44652</v>
      </c>
      <c r="H681" s="30">
        <v>44926</v>
      </c>
    </row>
    <row r="682" spans="1:8" x14ac:dyDescent="0.2">
      <c r="A682" s="32">
        <v>920128</v>
      </c>
      <c r="B682" s="27" t="s">
        <v>472</v>
      </c>
      <c r="C682" s="55">
        <v>1.4</v>
      </c>
      <c r="D682" s="55">
        <v>0.63</v>
      </c>
      <c r="E682" s="28" t="s">
        <v>960</v>
      </c>
      <c r="F682" s="55">
        <v>0.58590000000000009</v>
      </c>
      <c r="G682" s="29">
        <v>44652</v>
      </c>
      <c r="H682" s="30">
        <v>44926</v>
      </c>
    </row>
    <row r="683" spans="1:8" x14ac:dyDescent="0.2">
      <c r="A683" s="26">
        <v>920134</v>
      </c>
      <c r="B683" s="27" t="s">
        <v>473</v>
      </c>
      <c r="C683" s="55">
        <v>3.6750000000000003</v>
      </c>
      <c r="D683" s="55">
        <v>1.6537500000000001</v>
      </c>
      <c r="E683" s="28" t="s">
        <v>960</v>
      </c>
      <c r="F683" s="55">
        <v>1.5379875000000001</v>
      </c>
      <c r="G683" s="29">
        <v>44652</v>
      </c>
      <c r="H683" s="30">
        <v>44926</v>
      </c>
    </row>
    <row r="684" spans="1:8" x14ac:dyDescent="0.2">
      <c r="A684" s="26">
        <v>920135</v>
      </c>
      <c r="B684" s="27" t="s">
        <v>474</v>
      </c>
      <c r="C684" s="55">
        <v>3.6854999999999998</v>
      </c>
      <c r="D684" s="55">
        <v>1.6584749999999999</v>
      </c>
      <c r="E684" s="28" t="s">
        <v>960</v>
      </c>
      <c r="F684" s="55">
        <v>1.5423817500000001</v>
      </c>
      <c r="G684" s="29">
        <v>44652</v>
      </c>
      <c r="H684" s="30">
        <v>44926</v>
      </c>
    </row>
    <row r="685" spans="1:8" x14ac:dyDescent="0.2">
      <c r="A685" s="26">
        <v>920139</v>
      </c>
      <c r="B685" s="27" t="s">
        <v>475</v>
      </c>
      <c r="C685" s="55">
        <v>4.0949999999999998</v>
      </c>
      <c r="D685" s="55">
        <v>1.8427499999999999</v>
      </c>
      <c r="E685" s="28" t="s">
        <v>954</v>
      </c>
      <c r="F685" s="55">
        <v>1.7137575</v>
      </c>
      <c r="G685" s="29">
        <v>44652</v>
      </c>
      <c r="H685" s="30">
        <v>44926</v>
      </c>
    </row>
    <row r="686" spans="1:8" x14ac:dyDescent="0.2">
      <c r="A686" s="26">
        <v>920140</v>
      </c>
      <c r="B686" s="27" t="s">
        <v>476</v>
      </c>
      <c r="C686" s="55">
        <v>5.75</v>
      </c>
      <c r="D686" s="55">
        <v>2.5874999999999999</v>
      </c>
      <c r="E686" s="28" t="s">
        <v>954</v>
      </c>
      <c r="F686" s="55">
        <v>2.4063750000000002</v>
      </c>
      <c r="G686" s="29">
        <v>44652</v>
      </c>
      <c r="H686" s="30">
        <v>44926</v>
      </c>
    </row>
    <row r="687" spans="1:8" x14ac:dyDescent="0.2">
      <c r="A687" s="26">
        <v>920141</v>
      </c>
      <c r="B687" s="27" t="s">
        <v>477</v>
      </c>
      <c r="C687" s="55">
        <v>6.6465000000000005</v>
      </c>
      <c r="D687" s="55">
        <v>2.9909250000000003</v>
      </c>
      <c r="E687" s="28" t="s">
        <v>960</v>
      </c>
      <c r="F687" s="55">
        <v>2.7815602500000005</v>
      </c>
      <c r="G687" s="29">
        <v>44652</v>
      </c>
      <c r="H687" s="30">
        <v>44926</v>
      </c>
    </row>
    <row r="688" spans="1:8" x14ac:dyDescent="0.2">
      <c r="A688" s="26">
        <v>920142</v>
      </c>
      <c r="B688" s="27" t="s">
        <v>478</v>
      </c>
      <c r="C688" s="55">
        <v>4.25</v>
      </c>
      <c r="D688" s="55">
        <v>1.9125000000000001</v>
      </c>
      <c r="E688" s="28" t="s">
        <v>954</v>
      </c>
      <c r="F688" s="55">
        <v>1.7786250000000001</v>
      </c>
      <c r="G688" s="29">
        <v>44652</v>
      </c>
      <c r="H688" s="30">
        <v>44926</v>
      </c>
    </row>
    <row r="689" spans="1:8" x14ac:dyDescent="0.2">
      <c r="A689" s="26">
        <v>920143</v>
      </c>
      <c r="B689" s="27" t="s">
        <v>479</v>
      </c>
      <c r="C689" s="55">
        <v>4.0110000000000001</v>
      </c>
      <c r="D689" s="55">
        <v>1.8049500000000001</v>
      </c>
      <c r="E689" s="28" t="s">
        <v>954</v>
      </c>
      <c r="F689" s="55">
        <v>1.6786035000000001</v>
      </c>
      <c r="G689" s="29">
        <v>44652</v>
      </c>
      <c r="H689" s="30">
        <v>44926</v>
      </c>
    </row>
    <row r="690" spans="1:8" x14ac:dyDescent="0.2">
      <c r="A690" s="26">
        <v>920144</v>
      </c>
      <c r="B690" s="27" t="s">
        <v>480</v>
      </c>
      <c r="C690" s="55">
        <v>5.2920000000000007</v>
      </c>
      <c r="D690" s="55">
        <v>2.3814000000000002</v>
      </c>
      <c r="E690" s="28" t="s">
        <v>960</v>
      </c>
      <c r="F690" s="55">
        <v>2.2147020000000004</v>
      </c>
      <c r="G690" s="29">
        <v>44652</v>
      </c>
      <c r="H690" s="30">
        <v>44926</v>
      </c>
    </row>
    <row r="691" spans="1:8" x14ac:dyDescent="0.2">
      <c r="A691" s="26">
        <v>920145</v>
      </c>
      <c r="B691" s="27" t="s">
        <v>481</v>
      </c>
      <c r="C691" s="55">
        <v>5.2920000000000007</v>
      </c>
      <c r="D691" s="55">
        <v>2.3814000000000002</v>
      </c>
      <c r="E691" s="28" t="s">
        <v>960</v>
      </c>
      <c r="F691" s="55">
        <v>2.2147020000000004</v>
      </c>
      <c r="G691" s="29">
        <v>44652</v>
      </c>
      <c r="H691" s="30">
        <v>44926</v>
      </c>
    </row>
    <row r="692" spans="1:8" x14ac:dyDescent="0.2">
      <c r="A692" s="32">
        <v>920146</v>
      </c>
      <c r="B692" s="27" t="s">
        <v>482</v>
      </c>
      <c r="C692" s="55">
        <v>1.7324999999999999</v>
      </c>
      <c r="D692" s="55">
        <v>0.77962500000000001</v>
      </c>
      <c r="E692" s="28" t="s">
        <v>961</v>
      </c>
      <c r="F692" s="55">
        <v>0.72505125000000004</v>
      </c>
      <c r="G692" s="29">
        <v>44652</v>
      </c>
      <c r="H692" s="30">
        <v>44926</v>
      </c>
    </row>
    <row r="693" spans="1:8" x14ac:dyDescent="0.2">
      <c r="A693" s="32">
        <v>920147</v>
      </c>
      <c r="B693" s="27" t="s">
        <v>483</v>
      </c>
      <c r="C693" s="55">
        <v>27.069000000000003</v>
      </c>
      <c r="D693" s="55">
        <v>12.181050000000001</v>
      </c>
      <c r="E693" s="28" t="s">
        <v>961</v>
      </c>
      <c r="F693" s="55">
        <v>11.328376500000001</v>
      </c>
      <c r="G693" s="29">
        <v>44652</v>
      </c>
      <c r="H693" s="30">
        <v>44926</v>
      </c>
    </row>
    <row r="694" spans="1:8" x14ac:dyDescent="0.2">
      <c r="A694" s="32">
        <v>920148</v>
      </c>
      <c r="B694" s="27" t="s">
        <v>484</v>
      </c>
      <c r="C694" s="55">
        <v>0.52500000000000002</v>
      </c>
      <c r="D694" s="55">
        <v>0.23625000000000002</v>
      </c>
      <c r="E694" s="28" t="s">
        <v>961</v>
      </c>
      <c r="F694" s="55">
        <v>0.21971250000000003</v>
      </c>
      <c r="G694" s="29">
        <v>44652</v>
      </c>
      <c r="H694" s="30">
        <v>44926</v>
      </c>
    </row>
    <row r="695" spans="1:8" x14ac:dyDescent="0.2">
      <c r="A695" s="32">
        <v>920149</v>
      </c>
      <c r="B695" s="27" t="s">
        <v>485</v>
      </c>
      <c r="C695" s="55">
        <v>0.99749999999999994</v>
      </c>
      <c r="D695" s="55">
        <v>0.44887499999999997</v>
      </c>
      <c r="E695" s="28" t="s">
        <v>961</v>
      </c>
      <c r="F695" s="55">
        <v>0.41745375000000001</v>
      </c>
      <c r="G695" s="29">
        <v>44652</v>
      </c>
      <c r="H695" s="30">
        <v>44926</v>
      </c>
    </row>
    <row r="696" spans="1:8" x14ac:dyDescent="0.2">
      <c r="A696" s="32">
        <v>920150</v>
      </c>
      <c r="B696" s="27" t="s">
        <v>486</v>
      </c>
      <c r="C696" s="55">
        <v>34.8705</v>
      </c>
      <c r="D696" s="55">
        <v>15.691725</v>
      </c>
      <c r="E696" s="28" t="s">
        <v>961</v>
      </c>
      <c r="F696" s="55">
        <v>14.593304250000001</v>
      </c>
      <c r="G696" s="29">
        <v>44652</v>
      </c>
      <c r="H696" s="30">
        <v>44926</v>
      </c>
    </row>
    <row r="697" spans="1:8" x14ac:dyDescent="0.2">
      <c r="A697" s="26">
        <v>920151</v>
      </c>
      <c r="B697" s="27" t="s">
        <v>958</v>
      </c>
      <c r="C697" s="55">
        <v>9.5130000000000017</v>
      </c>
      <c r="D697" s="55">
        <v>4.2808500000000009</v>
      </c>
      <c r="E697" s="28" t="s">
        <v>954</v>
      </c>
      <c r="F697" s="55">
        <v>3.9811905000000012</v>
      </c>
      <c r="G697" s="29">
        <v>44652</v>
      </c>
      <c r="H697" s="30">
        <v>44926</v>
      </c>
    </row>
    <row r="698" spans="1:8" x14ac:dyDescent="0.2">
      <c r="A698" s="26">
        <v>920156</v>
      </c>
      <c r="B698" s="27" t="s">
        <v>957</v>
      </c>
      <c r="C698" s="55">
        <v>17.2</v>
      </c>
      <c r="D698" s="55">
        <v>7.74</v>
      </c>
      <c r="E698" s="28" t="s">
        <v>954</v>
      </c>
      <c r="F698" s="55">
        <v>7.1982000000000008</v>
      </c>
      <c r="G698" s="29">
        <v>44652</v>
      </c>
      <c r="H698" s="30">
        <v>44926</v>
      </c>
    </row>
    <row r="699" spans="1:8" x14ac:dyDescent="0.2">
      <c r="A699" s="26">
        <v>920157</v>
      </c>
      <c r="B699" s="27" t="s">
        <v>487</v>
      </c>
      <c r="C699" s="55">
        <v>19.3</v>
      </c>
      <c r="D699" s="55">
        <v>8.6850000000000005</v>
      </c>
      <c r="E699" s="28" t="s">
        <v>954</v>
      </c>
      <c r="F699" s="55">
        <v>8.0770500000000016</v>
      </c>
      <c r="G699" s="29">
        <v>44652</v>
      </c>
      <c r="H699" s="30">
        <v>44926</v>
      </c>
    </row>
    <row r="700" spans="1:8" x14ac:dyDescent="0.2">
      <c r="A700" s="32">
        <v>920158</v>
      </c>
      <c r="B700" s="27" t="s">
        <v>488</v>
      </c>
      <c r="C700" s="55">
        <v>1.9425000000000001</v>
      </c>
      <c r="D700" s="55">
        <v>0.87412500000000004</v>
      </c>
      <c r="E700" s="28" t="s">
        <v>954</v>
      </c>
      <c r="F700" s="55">
        <v>0.81293625000000003</v>
      </c>
      <c r="G700" s="29">
        <v>44652</v>
      </c>
      <c r="H700" s="30">
        <v>44926</v>
      </c>
    </row>
    <row r="701" spans="1:8" x14ac:dyDescent="0.2">
      <c r="A701" s="32">
        <v>920159</v>
      </c>
      <c r="B701" s="27" t="s">
        <v>489</v>
      </c>
      <c r="C701" s="55">
        <v>1.3755000000000002</v>
      </c>
      <c r="D701" s="55">
        <v>0.61897500000000005</v>
      </c>
      <c r="E701" s="28" t="s">
        <v>954</v>
      </c>
      <c r="F701" s="55">
        <v>0.5756467500000001</v>
      </c>
      <c r="G701" s="29">
        <v>44652</v>
      </c>
      <c r="H701" s="30">
        <v>44926</v>
      </c>
    </row>
    <row r="702" spans="1:8" x14ac:dyDescent="0.2">
      <c r="A702" s="32">
        <v>920161</v>
      </c>
      <c r="B702" s="27" t="s">
        <v>490</v>
      </c>
      <c r="C702" s="55">
        <v>27.25</v>
      </c>
      <c r="D702" s="55">
        <v>12.262500000000001</v>
      </c>
      <c r="E702" s="28" t="s">
        <v>8</v>
      </c>
      <c r="F702" s="55"/>
      <c r="G702" s="29">
        <v>44652</v>
      </c>
      <c r="H702" s="30">
        <v>44926</v>
      </c>
    </row>
    <row r="703" spans="1:8" x14ac:dyDescent="0.2">
      <c r="A703" s="32">
        <v>920165</v>
      </c>
      <c r="B703" s="27" t="s">
        <v>491</v>
      </c>
      <c r="C703" s="55">
        <v>0.89249999999999996</v>
      </c>
      <c r="D703" s="55">
        <v>0.40162500000000001</v>
      </c>
      <c r="E703" s="28" t="s">
        <v>960</v>
      </c>
      <c r="F703" s="55">
        <v>0.37351125000000002</v>
      </c>
      <c r="G703" s="29">
        <v>44652</v>
      </c>
      <c r="H703" s="30">
        <v>44926</v>
      </c>
    </row>
    <row r="704" spans="1:8" x14ac:dyDescent="0.2">
      <c r="A704" s="32">
        <v>920177</v>
      </c>
      <c r="B704" s="27" t="s">
        <v>492</v>
      </c>
      <c r="C704" s="55">
        <v>0.42000000000000004</v>
      </c>
      <c r="D704" s="55">
        <v>0.18900000000000003</v>
      </c>
      <c r="E704" s="28" t="s">
        <v>954</v>
      </c>
      <c r="F704" s="55">
        <v>0.17577000000000004</v>
      </c>
      <c r="G704" s="29">
        <v>44652</v>
      </c>
      <c r="H704" s="30">
        <v>44926</v>
      </c>
    </row>
    <row r="705" spans="1:8" x14ac:dyDescent="0.2">
      <c r="A705" s="32">
        <v>920178</v>
      </c>
      <c r="B705" s="27" t="s">
        <v>493</v>
      </c>
      <c r="C705" s="55">
        <v>0.42000000000000004</v>
      </c>
      <c r="D705" s="55">
        <v>0.18900000000000003</v>
      </c>
      <c r="E705" s="28" t="s">
        <v>8</v>
      </c>
      <c r="F705" s="55"/>
      <c r="G705" s="29">
        <v>44652</v>
      </c>
      <c r="H705" s="30">
        <v>44926</v>
      </c>
    </row>
    <row r="706" spans="1:8" x14ac:dyDescent="0.2">
      <c r="A706" s="32">
        <v>920182</v>
      </c>
      <c r="B706" s="27" t="s">
        <v>494</v>
      </c>
      <c r="C706" s="55">
        <v>53.907000000000004</v>
      </c>
      <c r="D706" s="55">
        <v>24.258150000000001</v>
      </c>
      <c r="E706" s="28" t="s">
        <v>8</v>
      </c>
      <c r="F706" s="55"/>
      <c r="G706" s="29">
        <v>44652</v>
      </c>
      <c r="H706" s="30">
        <v>44926</v>
      </c>
    </row>
    <row r="707" spans="1:8" x14ac:dyDescent="0.2">
      <c r="A707" s="32">
        <v>920183</v>
      </c>
      <c r="B707" s="27" t="s">
        <v>495</v>
      </c>
      <c r="C707" s="55">
        <v>100.17000000000002</v>
      </c>
      <c r="D707" s="55">
        <v>45.07650000000001</v>
      </c>
      <c r="E707" s="28" t="s">
        <v>8</v>
      </c>
      <c r="F707" s="55"/>
      <c r="G707" s="29">
        <v>44652</v>
      </c>
      <c r="H707" s="30">
        <v>44926</v>
      </c>
    </row>
    <row r="708" spans="1:8" x14ac:dyDescent="0.2">
      <c r="A708" s="32">
        <v>920184</v>
      </c>
      <c r="B708" s="27" t="s">
        <v>496</v>
      </c>
      <c r="C708" s="55">
        <v>288.25649999999996</v>
      </c>
      <c r="D708" s="55">
        <v>129.71542499999998</v>
      </c>
      <c r="E708" s="28" t="s">
        <v>8</v>
      </c>
      <c r="F708" s="55"/>
      <c r="G708" s="29">
        <v>44652</v>
      </c>
      <c r="H708" s="30">
        <v>44926</v>
      </c>
    </row>
    <row r="709" spans="1:8" x14ac:dyDescent="0.2">
      <c r="A709" s="32">
        <v>920187</v>
      </c>
      <c r="B709" s="27" t="s">
        <v>989</v>
      </c>
      <c r="C709" s="55">
        <v>54.999000000000002</v>
      </c>
      <c r="D709" s="55">
        <v>24.749550000000003</v>
      </c>
      <c r="E709" s="28" t="s">
        <v>8</v>
      </c>
      <c r="F709" s="55"/>
      <c r="G709" s="29">
        <v>44652</v>
      </c>
      <c r="H709" s="30">
        <v>44926</v>
      </c>
    </row>
    <row r="710" spans="1:8" x14ac:dyDescent="0.2">
      <c r="A710" s="32">
        <v>920188</v>
      </c>
      <c r="B710" s="27" t="s">
        <v>983</v>
      </c>
      <c r="C710" s="55">
        <v>73.248000000000005</v>
      </c>
      <c r="D710" s="55">
        <v>32.961600000000004</v>
      </c>
      <c r="E710" s="28" t="s">
        <v>8</v>
      </c>
      <c r="F710" s="55"/>
      <c r="G710" s="29">
        <v>44652</v>
      </c>
      <c r="H710" s="30">
        <v>44926</v>
      </c>
    </row>
    <row r="711" spans="1:8" x14ac:dyDescent="0.2">
      <c r="A711" s="32">
        <v>920189</v>
      </c>
      <c r="B711" s="27" t="s">
        <v>981</v>
      </c>
      <c r="C711" s="55">
        <v>94.531500000000008</v>
      </c>
      <c r="D711" s="55">
        <v>42.539175000000007</v>
      </c>
      <c r="E711" s="28" t="s">
        <v>8</v>
      </c>
      <c r="F711" s="55"/>
      <c r="G711" s="29">
        <v>44652</v>
      </c>
      <c r="H711" s="30">
        <v>44926</v>
      </c>
    </row>
    <row r="712" spans="1:8" x14ac:dyDescent="0.2">
      <c r="A712" s="32">
        <v>920190</v>
      </c>
      <c r="B712" s="27" t="s">
        <v>497</v>
      </c>
      <c r="C712" s="55">
        <v>188.82150000000001</v>
      </c>
      <c r="D712" s="55">
        <v>84.969675000000009</v>
      </c>
      <c r="E712" s="28" t="s">
        <v>8</v>
      </c>
      <c r="F712" s="55"/>
      <c r="G712" s="29">
        <v>44652</v>
      </c>
      <c r="H712" s="30">
        <v>44926</v>
      </c>
    </row>
    <row r="713" spans="1:8" x14ac:dyDescent="0.2">
      <c r="A713" s="32">
        <v>920191</v>
      </c>
      <c r="B713" s="27" t="s">
        <v>498</v>
      </c>
      <c r="C713" s="55">
        <v>532.40250000000003</v>
      </c>
      <c r="D713" s="55">
        <v>239.58112500000001</v>
      </c>
      <c r="E713" s="28" t="s">
        <v>8</v>
      </c>
      <c r="F713" s="55"/>
      <c r="G713" s="29">
        <v>44652</v>
      </c>
      <c r="H713" s="30">
        <v>44926</v>
      </c>
    </row>
    <row r="714" spans="1:8" x14ac:dyDescent="0.2">
      <c r="A714" s="32">
        <v>920192</v>
      </c>
      <c r="B714" s="27" t="s">
        <v>499</v>
      </c>
      <c r="C714" s="55">
        <v>230.19149999999999</v>
      </c>
      <c r="D714" s="55">
        <v>103.586175</v>
      </c>
      <c r="E714" s="28" t="s">
        <v>8</v>
      </c>
      <c r="F714" s="55"/>
      <c r="G714" s="29">
        <v>44652</v>
      </c>
      <c r="H714" s="30">
        <v>44926</v>
      </c>
    </row>
    <row r="715" spans="1:8" x14ac:dyDescent="0.2">
      <c r="A715" s="32">
        <v>920193</v>
      </c>
      <c r="B715" s="27" t="s">
        <v>500</v>
      </c>
      <c r="C715" s="55">
        <v>426.11099999999999</v>
      </c>
      <c r="D715" s="55">
        <v>191.74995000000001</v>
      </c>
      <c r="E715" s="28" t="s">
        <v>8</v>
      </c>
      <c r="F715" s="55"/>
      <c r="G715" s="29">
        <v>44652</v>
      </c>
      <c r="H715" s="30">
        <v>44926</v>
      </c>
    </row>
    <row r="716" spans="1:8" x14ac:dyDescent="0.2">
      <c r="A716" s="32">
        <v>920194</v>
      </c>
      <c r="B716" s="27" t="s">
        <v>501</v>
      </c>
      <c r="C716" s="55">
        <v>488.10300000000001</v>
      </c>
      <c r="D716" s="55">
        <v>219.64635000000001</v>
      </c>
      <c r="E716" s="28" t="s">
        <v>8</v>
      </c>
      <c r="F716" s="55"/>
      <c r="G716" s="29">
        <v>44652</v>
      </c>
      <c r="H716" s="30">
        <v>44926</v>
      </c>
    </row>
    <row r="717" spans="1:8" x14ac:dyDescent="0.2">
      <c r="A717" s="32">
        <v>920195</v>
      </c>
      <c r="B717" s="27" t="s">
        <v>502</v>
      </c>
      <c r="C717" s="55">
        <v>664.41899999999998</v>
      </c>
      <c r="D717" s="55">
        <v>298.98854999999998</v>
      </c>
      <c r="E717" s="28" t="s">
        <v>8</v>
      </c>
      <c r="F717" s="55"/>
      <c r="G717" s="29">
        <v>44652</v>
      </c>
      <c r="H717" s="30">
        <v>44926</v>
      </c>
    </row>
    <row r="718" spans="1:8" x14ac:dyDescent="0.2">
      <c r="A718" s="32">
        <v>920202</v>
      </c>
      <c r="B718" s="27" t="s">
        <v>990</v>
      </c>
      <c r="C718" s="55">
        <v>246.85500000000002</v>
      </c>
      <c r="D718" s="55">
        <v>111.08475000000001</v>
      </c>
      <c r="E718" s="28" t="s">
        <v>8</v>
      </c>
      <c r="F718" s="55"/>
      <c r="G718" s="29">
        <v>44652</v>
      </c>
      <c r="H718" s="30">
        <v>44926</v>
      </c>
    </row>
    <row r="719" spans="1:8" x14ac:dyDescent="0.2">
      <c r="A719" s="32">
        <v>920207</v>
      </c>
      <c r="B719" s="27" t="s">
        <v>991</v>
      </c>
      <c r="C719" s="55">
        <v>246.85500000000002</v>
      </c>
      <c r="D719" s="55">
        <v>111.08475000000001</v>
      </c>
      <c r="E719" s="28" t="s">
        <v>8</v>
      </c>
      <c r="F719" s="55"/>
      <c r="G719" s="29">
        <v>44652</v>
      </c>
      <c r="H719" s="30">
        <v>44926</v>
      </c>
    </row>
    <row r="720" spans="1:8" x14ac:dyDescent="0.2">
      <c r="A720" s="32">
        <v>920209</v>
      </c>
      <c r="B720" s="27" t="s">
        <v>503</v>
      </c>
      <c r="C720" s="55">
        <v>0.94500000000000006</v>
      </c>
      <c r="D720" s="55">
        <v>0.42525000000000002</v>
      </c>
      <c r="E720" s="28" t="s">
        <v>954</v>
      </c>
      <c r="F720" s="55">
        <v>0.39548250000000001</v>
      </c>
      <c r="G720" s="29">
        <v>44652</v>
      </c>
      <c r="H720" s="30">
        <v>44926</v>
      </c>
    </row>
    <row r="721" spans="1:8" x14ac:dyDescent="0.2">
      <c r="A721" s="32">
        <v>920211</v>
      </c>
      <c r="B721" s="27" t="s">
        <v>504</v>
      </c>
      <c r="C721" s="55">
        <v>19.026000000000003</v>
      </c>
      <c r="D721" s="55">
        <v>8.5617000000000019</v>
      </c>
      <c r="E721" s="28" t="s">
        <v>954</v>
      </c>
      <c r="F721" s="55">
        <v>7.9623810000000024</v>
      </c>
      <c r="G721" s="29">
        <v>44652</v>
      </c>
      <c r="H721" s="30">
        <v>44926</v>
      </c>
    </row>
    <row r="722" spans="1:8" x14ac:dyDescent="0.2">
      <c r="A722" s="32">
        <v>920212</v>
      </c>
      <c r="B722" s="27" t="s">
        <v>505</v>
      </c>
      <c r="C722" s="55">
        <v>25.473000000000003</v>
      </c>
      <c r="D722" s="55">
        <v>11.462850000000001</v>
      </c>
      <c r="E722" s="28" t="s">
        <v>954</v>
      </c>
      <c r="F722" s="55">
        <v>10.660450500000001</v>
      </c>
      <c r="G722" s="29">
        <v>44652</v>
      </c>
      <c r="H722" s="30">
        <v>44926</v>
      </c>
    </row>
    <row r="723" spans="1:8" x14ac:dyDescent="0.2">
      <c r="A723" s="32">
        <v>920213</v>
      </c>
      <c r="B723" s="27" t="s">
        <v>506</v>
      </c>
      <c r="C723" s="55">
        <v>27.468</v>
      </c>
      <c r="D723" s="55">
        <v>12.3606</v>
      </c>
      <c r="E723" s="28" t="s">
        <v>954</v>
      </c>
      <c r="F723" s="55">
        <v>11.495358000000001</v>
      </c>
      <c r="G723" s="29">
        <v>44652</v>
      </c>
      <c r="H723" s="30">
        <v>44926</v>
      </c>
    </row>
    <row r="724" spans="1:8" x14ac:dyDescent="0.2">
      <c r="A724" s="32">
        <v>920214</v>
      </c>
      <c r="B724" s="27" t="s">
        <v>507</v>
      </c>
      <c r="C724" s="55">
        <v>17.272500000000001</v>
      </c>
      <c r="D724" s="55">
        <v>7.7726250000000006</v>
      </c>
      <c r="E724" s="28" t="s">
        <v>954</v>
      </c>
      <c r="F724" s="55">
        <v>7.228541250000001</v>
      </c>
      <c r="G724" s="29">
        <v>44652</v>
      </c>
      <c r="H724" s="30">
        <v>44926</v>
      </c>
    </row>
    <row r="725" spans="1:8" x14ac:dyDescent="0.2">
      <c r="A725" s="32">
        <v>920215</v>
      </c>
      <c r="B725" s="27" t="s">
        <v>508</v>
      </c>
      <c r="C725" s="55">
        <v>29.46</v>
      </c>
      <c r="D725" s="55">
        <v>13.257000000000001</v>
      </c>
      <c r="E725" s="28" t="s">
        <v>954</v>
      </c>
      <c r="F725" s="55">
        <v>12.329010000000002</v>
      </c>
      <c r="G725" s="29">
        <v>44652</v>
      </c>
      <c r="H725" s="30">
        <v>44926</v>
      </c>
    </row>
    <row r="726" spans="1:8" x14ac:dyDescent="0.2">
      <c r="A726" s="32">
        <v>920216</v>
      </c>
      <c r="B726" s="27" t="s">
        <v>509</v>
      </c>
      <c r="C726" s="55">
        <v>17.739999999999998</v>
      </c>
      <c r="D726" s="55">
        <v>7.9829999999999997</v>
      </c>
      <c r="E726" s="28" t="s">
        <v>954</v>
      </c>
      <c r="F726" s="55">
        <v>7.4241900000000003</v>
      </c>
      <c r="G726" s="29">
        <v>44652</v>
      </c>
      <c r="H726" s="30">
        <v>44926</v>
      </c>
    </row>
    <row r="727" spans="1:8" x14ac:dyDescent="0.2">
      <c r="A727" s="32">
        <v>920217</v>
      </c>
      <c r="B727" s="27" t="s">
        <v>510</v>
      </c>
      <c r="C727" s="55">
        <v>18.16</v>
      </c>
      <c r="D727" s="55">
        <v>8.1720000000000006</v>
      </c>
      <c r="E727" s="28" t="s">
        <v>954</v>
      </c>
      <c r="F727" s="55">
        <v>7.5999600000000012</v>
      </c>
      <c r="G727" s="29">
        <v>44652</v>
      </c>
      <c r="H727" s="30">
        <v>44926</v>
      </c>
    </row>
    <row r="728" spans="1:8" x14ac:dyDescent="0.2">
      <c r="A728" s="32">
        <v>920218</v>
      </c>
      <c r="B728" s="27" t="s">
        <v>511</v>
      </c>
      <c r="C728" s="55">
        <v>18.55</v>
      </c>
      <c r="D728" s="55">
        <v>8.3475000000000001</v>
      </c>
      <c r="E728" s="28" t="s">
        <v>954</v>
      </c>
      <c r="F728" s="55">
        <v>7.7631750000000004</v>
      </c>
      <c r="G728" s="29">
        <v>44652</v>
      </c>
      <c r="H728" s="30">
        <v>44926</v>
      </c>
    </row>
    <row r="729" spans="1:8" x14ac:dyDescent="0.2">
      <c r="A729" s="32">
        <v>920219</v>
      </c>
      <c r="B729" s="27" t="s">
        <v>1008</v>
      </c>
      <c r="C729" s="55">
        <v>0.34650000000000003</v>
      </c>
      <c r="D729" s="55">
        <v>0.15592500000000001</v>
      </c>
      <c r="E729" s="28" t="s">
        <v>954</v>
      </c>
      <c r="F729" s="55">
        <v>0.14501025000000001</v>
      </c>
      <c r="G729" s="29">
        <v>44652</v>
      </c>
      <c r="H729" s="30">
        <v>44926</v>
      </c>
    </row>
    <row r="730" spans="1:8" x14ac:dyDescent="0.2">
      <c r="A730" s="32">
        <v>920223</v>
      </c>
      <c r="B730" s="27" t="s">
        <v>512</v>
      </c>
      <c r="C730" s="55">
        <v>1.6590000000000003</v>
      </c>
      <c r="D730" s="55">
        <v>0.74655000000000016</v>
      </c>
      <c r="E730" s="28" t="s">
        <v>960</v>
      </c>
      <c r="F730" s="55">
        <v>0.69429150000000017</v>
      </c>
      <c r="G730" s="29">
        <v>44652</v>
      </c>
      <c r="H730" s="30">
        <v>44926</v>
      </c>
    </row>
    <row r="731" spans="1:8" x14ac:dyDescent="0.2">
      <c r="A731" s="32">
        <v>920224</v>
      </c>
      <c r="B731" s="27" t="s">
        <v>513</v>
      </c>
      <c r="C731" s="55">
        <v>0.83</v>
      </c>
      <c r="D731" s="55">
        <v>0.3735</v>
      </c>
      <c r="E731" s="28" t="s">
        <v>960</v>
      </c>
      <c r="F731" s="55">
        <v>0.34735500000000002</v>
      </c>
      <c r="G731" s="29">
        <v>44652</v>
      </c>
      <c r="H731" s="30">
        <v>44926</v>
      </c>
    </row>
    <row r="732" spans="1:8" x14ac:dyDescent="0.2">
      <c r="A732" s="32">
        <v>920225</v>
      </c>
      <c r="B732" s="27" t="s">
        <v>514</v>
      </c>
      <c r="C732" s="55">
        <v>0.52500000000000002</v>
      </c>
      <c r="D732" s="55">
        <v>0.23625000000000002</v>
      </c>
      <c r="E732" s="28" t="s">
        <v>960</v>
      </c>
      <c r="F732" s="55">
        <v>0.21971250000000003</v>
      </c>
      <c r="G732" s="29">
        <v>44652</v>
      </c>
      <c r="H732" s="30">
        <v>44926</v>
      </c>
    </row>
    <row r="733" spans="1:8" x14ac:dyDescent="0.2">
      <c r="A733" s="26">
        <v>920228</v>
      </c>
      <c r="B733" s="27" t="s">
        <v>515</v>
      </c>
      <c r="C733" s="55">
        <v>1.2915000000000001</v>
      </c>
      <c r="D733" s="55">
        <v>0.58117500000000011</v>
      </c>
      <c r="E733" s="28" t="s">
        <v>954</v>
      </c>
      <c r="F733" s="55">
        <v>0.54049275000000008</v>
      </c>
      <c r="G733" s="29">
        <v>44652</v>
      </c>
      <c r="H733" s="30">
        <v>44926</v>
      </c>
    </row>
    <row r="734" spans="1:8" x14ac:dyDescent="0.2">
      <c r="A734" s="26">
        <v>920229</v>
      </c>
      <c r="B734" s="27" t="s">
        <v>516</v>
      </c>
      <c r="C734" s="55">
        <v>1.2915000000000001</v>
      </c>
      <c r="D734" s="55">
        <v>0.58117500000000011</v>
      </c>
      <c r="E734" s="28" t="s">
        <v>8</v>
      </c>
      <c r="F734" s="55"/>
      <c r="G734" s="29">
        <v>44652</v>
      </c>
      <c r="H734" s="30">
        <v>44926</v>
      </c>
    </row>
    <row r="735" spans="1:8" x14ac:dyDescent="0.2">
      <c r="A735" s="32">
        <v>920232</v>
      </c>
      <c r="B735" s="27" t="s">
        <v>1209</v>
      </c>
      <c r="C735" s="55">
        <v>90.8</v>
      </c>
      <c r="D735" s="55">
        <v>40.86</v>
      </c>
      <c r="E735" s="28" t="s">
        <v>8</v>
      </c>
      <c r="F735" s="55"/>
      <c r="G735" s="29">
        <v>44652</v>
      </c>
      <c r="H735" s="30">
        <v>44926</v>
      </c>
    </row>
    <row r="736" spans="1:8" x14ac:dyDescent="0.2">
      <c r="A736" s="32">
        <v>920234</v>
      </c>
      <c r="B736" s="27" t="s">
        <v>517</v>
      </c>
      <c r="C736" s="55">
        <v>7.0350000000000001</v>
      </c>
      <c r="D736" s="55">
        <v>3.1657500000000001</v>
      </c>
      <c r="E736" s="28" t="s">
        <v>954</v>
      </c>
      <c r="F736" s="55">
        <v>2.9441475000000001</v>
      </c>
      <c r="G736" s="29">
        <v>44652</v>
      </c>
      <c r="H736" s="30">
        <v>44926</v>
      </c>
    </row>
    <row r="737" spans="1:8" x14ac:dyDescent="0.2">
      <c r="A737" s="32">
        <v>920235</v>
      </c>
      <c r="B737" s="27" t="s">
        <v>518</v>
      </c>
      <c r="C737" s="55">
        <v>25.99</v>
      </c>
      <c r="D737" s="55">
        <v>11.695499999999999</v>
      </c>
      <c r="E737" s="28" t="s">
        <v>954</v>
      </c>
      <c r="F737" s="55">
        <v>10.876815000000001</v>
      </c>
      <c r="G737" s="29">
        <v>44652</v>
      </c>
      <c r="H737" s="30">
        <v>44926</v>
      </c>
    </row>
    <row r="738" spans="1:8" x14ac:dyDescent="0.2">
      <c r="A738" s="32">
        <v>920244</v>
      </c>
      <c r="B738" s="27" t="s">
        <v>519</v>
      </c>
      <c r="C738" s="55">
        <v>1.9949999999999999</v>
      </c>
      <c r="D738" s="55">
        <v>0.89774999999999994</v>
      </c>
      <c r="E738" s="28" t="s">
        <v>954</v>
      </c>
      <c r="F738" s="55">
        <v>0.83490750000000002</v>
      </c>
      <c r="G738" s="29">
        <v>44652</v>
      </c>
      <c r="H738" s="30">
        <v>44926</v>
      </c>
    </row>
    <row r="739" spans="1:8" x14ac:dyDescent="0.2">
      <c r="A739" s="32">
        <v>920248</v>
      </c>
      <c r="B739" s="27" t="s">
        <v>520</v>
      </c>
      <c r="C739" s="55">
        <v>0.99749999999999994</v>
      </c>
      <c r="D739" s="55">
        <v>0.44887499999999997</v>
      </c>
      <c r="E739" s="28" t="s">
        <v>954</v>
      </c>
      <c r="F739" s="55">
        <v>0.41745375000000001</v>
      </c>
      <c r="G739" s="29">
        <v>44652</v>
      </c>
      <c r="H739" s="30">
        <v>44926</v>
      </c>
    </row>
    <row r="740" spans="1:8" x14ac:dyDescent="0.2">
      <c r="A740" s="32">
        <v>920264</v>
      </c>
      <c r="B740" s="27" t="s">
        <v>521</v>
      </c>
      <c r="C740" s="55">
        <v>10.9</v>
      </c>
      <c r="D740" s="55">
        <v>4.9050000000000002</v>
      </c>
      <c r="E740" s="28" t="s">
        <v>954</v>
      </c>
      <c r="F740" s="55">
        <v>4.5616500000000002</v>
      </c>
      <c r="G740" s="29">
        <v>44652</v>
      </c>
      <c r="H740" s="30">
        <v>44926</v>
      </c>
    </row>
    <row r="741" spans="1:8" x14ac:dyDescent="0.2">
      <c r="A741" s="32">
        <v>920265</v>
      </c>
      <c r="B741" s="27" t="s">
        <v>1105</v>
      </c>
      <c r="C741" s="55">
        <v>5.5</v>
      </c>
      <c r="D741" s="55">
        <v>2.4750000000000001</v>
      </c>
      <c r="E741" s="28" t="s">
        <v>954</v>
      </c>
      <c r="F741" s="55">
        <v>2.3017500000000002</v>
      </c>
      <c r="G741" s="29">
        <v>44652</v>
      </c>
      <c r="H741" s="30">
        <v>44926</v>
      </c>
    </row>
    <row r="742" spans="1:8" x14ac:dyDescent="0.2">
      <c r="A742" s="32">
        <v>920268</v>
      </c>
      <c r="B742" s="27" t="s">
        <v>522</v>
      </c>
      <c r="C742" s="55">
        <v>8.0640000000000001</v>
      </c>
      <c r="D742" s="55">
        <v>3.6288</v>
      </c>
      <c r="E742" s="28" t="s">
        <v>954</v>
      </c>
      <c r="F742" s="55">
        <v>3.374784</v>
      </c>
      <c r="G742" s="29">
        <v>44652</v>
      </c>
      <c r="H742" s="30">
        <v>44926</v>
      </c>
    </row>
    <row r="743" spans="1:8" x14ac:dyDescent="0.2">
      <c r="A743" s="32">
        <v>920273</v>
      </c>
      <c r="B743" s="27" t="s">
        <v>523</v>
      </c>
      <c r="C743" s="55">
        <v>50.714999999999996</v>
      </c>
      <c r="D743" s="55">
        <v>22.821749999999998</v>
      </c>
      <c r="E743" s="28" t="s">
        <v>954</v>
      </c>
      <c r="F743" s="55">
        <v>21.224227499999998</v>
      </c>
      <c r="G743" s="29">
        <v>44652</v>
      </c>
      <c r="H743" s="30">
        <v>44926</v>
      </c>
    </row>
    <row r="744" spans="1:8" x14ac:dyDescent="0.2">
      <c r="A744" s="32">
        <v>920275</v>
      </c>
      <c r="B744" s="27" t="s">
        <v>524</v>
      </c>
      <c r="C744" s="55">
        <v>1.3</v>
      </c>
      <c r="D744" s="55">
        <v>0.58500000000000008</v>
      </c>
      <c r="E744" s="28" t="s">
        <v>960</v>
      </c>
      <c r="F744" s="55">
        <v>0.54405000000000014</v>
      </c>
      <c r="G744" s="29">
        <v>44652</v>
      </c>
      <c r="H744" s="30">
        <v>44926</v>
      </c>
    </row>
    <row r="745" spans="1:8" x14ac:dyDescent="0.2">
      <c r="A745" s="32">
        <v>920276</v>
      </c>
      <c r="B745" s="27" t="s">
        <v>525</v>
      </c>
      <c r="C745" s="55">
        <v>1.1299999999999999</v>
      </c>
      <c r="D745" s="55">
        <v>0.50849999999999995</v>
      </c>
      <c r="E745" s="28" t="s">
        <v>960</v>
      </c>
      <c r="F745" s="55">
        <v>0.47290499999999996</v>
      </c>
      <c r="G745" s="29">
        <v>44652</v>
      </c>
      <c r="H745" s="30">
        <v>44926</v>
      </c>
    </row>
    <row r="746" spans="1:8" x14ac:dyDescent="0.2">
      <c r="A746" s="32">
        <v>920278</v>
      </c>
      <c r="B746" s="27" t="s">
        <v>526</v>
      </c>
      <c r="C746" s="55">
        <v>1.3650000000000002</v>
      </c>
      <c r="D746" s="55">
        <v>0.61425000000000007</v>
      </c>
      <c r="E746" s="28" t="s">
        <v>960</v>
      </c>
      <c r="F746" s="55">
        <v>0.57125250000000005</v>
      </c>
      <c r="G746" s="29">
        <v>44652</v>
      </c>
      <c r="H746" s="30">
        <v>44926</v>
      </c>
    </row>
    <row r="747" spans="1:8" x14ac:dyDescent="0.2">
      <c r="A747" s="32">
        <v>920283</v>
      </c>
      <c r="B747" s="27" t="s">
        <v>527</v>
      </c>
      <c r="C747" s="55">
        <v>3.2025000000000001</v>
      </c>
      <c r="D747" s="55">
        <v>1.441125</v>
      </c>
      <c r="E747" s="28" t="s">
        <v>960</v>
      </c>
      <c r="F747" s="55">
        <v>1.3402462500000001</v>
      </c>
      <c r="G747" s="29">
        <v>44652</v>
      </c>
      <c r="H747" s="30">
        <v>44926</v>
      </c>
    </row>
    <row r="748" spans="1:8" x14ac:dyDescent="0.2">
      <c r="A748" s="32">
        <v>920284</v>
      </c>
      <c r="B748" s="27" t="s">
        <v>528</v>
      </c>
      <c r="C748" s="55">
        <v>1.218</v>
      </c>
      <c r="D748" s="55">
        <v>0.54810000000000003</v>
      </c>
      <c r="E748" s="28" t="s">
        <v>960</v>
      </c>
      <c r="F748" s="55">
        <v>0.5097330000000001</v>
      </c>
      <c r="G748" s="29">
        <v>44652</v>
      </c>
      <c r="H748" s="30">
        <v>44926</v>
      </c>
    </row>
    <row r="749" spans="1:8" x14ac:dyDescent="0.2">
      <c r="A749" s="32">
        <v>920300</v>
      </c>
      <c r="B749" s="27" t="s">
        <v>529</v>
      </c>
      <c r="C749" s="55">
        <v>3.7065000000000001</v>
      </c>
      <c r="D749" s="55">
        <v>1.6679250000000001</v>
      </c>
      <c r="E749" s="28" t="s">
        <v>960</v>
      </c>
      <c r="F749" s="55">
        <v>1.5511702500000002</v>
      </c>
      <c r="G749" s="29">
        <v>44652</v>
      </c>
      <c r="H749" s="30">
        <v>44926</v>
      </c>
    </row>
    <row r="750" spans="1:8" x14ac:dyDescent="0.2">
      <c r="A750" s="32">
        <v>920306</v>
      </c>
      <c r="B750" s="27" t="s">
        <v>530</v>
      </c>
      <c r="C750" s="55">
        <v>0.94500000000000006</v>
      </c>
      <c r="D750" s="55">
        <v>0.42525000000000002</v>
      </c>
      <c r="E750" s="28" t="s">
        <v>960</v>
      </c>
      <c r="F750" s="55">
        <v>0.39548250000000001</v>
      </c>
      <c r="G750" s="29">
        <v>44652</v>
      </c>
      <c r="H750" s="30">
        <v>44926</v>
      </c>
    </row>
    <row r="751" spans="1:8" x14ac:dyDescent="0.2">
      <c r="A751" s="32">
        <v>920307</v>
      </c>
      <c r="B751" s="27" t="s">
        <v>531</v>
      </c>
      <c r="C751" s="55">
        <v>0.90300000000000002</v>
      </c>
      <c r="D751" s="55">
        <v>0.40635000000000004</v>
      </c>
      <c r="E751" s="28" t="s">
        <v>960</v>
      </c>
      <c r="F751" s="55">
        <v>0.37790550000000006</v>
      </c>
      <c r="G751" s="29">
        <v>44652</v>
      </c>
      <c r="H751" s="30">
        <v>44926</v>
      </c>
    </row>
    <row r="752" spans="1:8" x14ac:dyDescent="0.2">
      <c r="A752" s="32">
        <v>920311</v>
      </c>
      <c r="B752" s="27" t="s">
        <v>962</v>
      </c>
      <c r="C752" s="55">
        <v>1.23</v>
      </c>
      <c r="D752" s="55">
        <v>0.55349999999999999</v>
      </c>
      <c r="E752" s="28" t="s">
        <v>960</v>
      </c>
      <c r="F752" s="55">
        <v>0.51475500000000007</v>
      </c>
      <c r="G752" s="29">
        <v>44652</v>
      </c>
      <c r="H752" s="30">
        <v>44926</v>
      </c>
    </row>
    <row r="753" spans="1:8" x14ac:dyDescent="0.2">
      <c r="A753" s="32">
        <v>920316</v>
      </c>
      <c r="B753" s="27" t="s">
        <v>532</v>
      </c>
      <c r="C753" s="55">
        <v>1.1599999999999999</v>
      </c>
      <c r="D753" s="55">
        <v>0.52200000000000002</v>
      </c>
      <c r="E753" s="28" t="s">
        <v>960</v>
      </c>
      <c r="F753" s="55">
        <v>0.48546000000000006</v>
      </c>
      <c r="G753" s="29">
        <v>44652</v>
      </c>
      <c r="H753" s="30">
        <v>44926</v>
      </c>
    </row>
    <row r="754" spans="1:8" x14ac:dyDescent="0.2">
      <c r="A754" s="32">
        <v>920318</v>
      </c>
      <c r="B754" s="27" t="s">
        <v>533</v>
      </c>
      <c r="C754" s="55">
        <v>1.43</v>
      </c>
      <c r="D754" s="55">
        <v>0.64349999999999996</v>
      </c>
      <c r="E754" s="28" t="s">
        <v>960</v>
      </c>
      <c r="F754" s="55">
        <v>0.59845499999999996</v>
      </c>
      <c r="G754" s="29">
        <v>44652</v>
      </c>
      <c r="H754" s="30">
        <v>44926</v>
      </c>
    </row>
    <row r="755" spans="1:8" x14ac:dyDescent="0.2">
      <c r="A755" s="32">
        <v>920320</v>
      </c>
      <c r="B755" s="27" t="s">
        <v>534</v>
      </c>
      <c r="C755" s="55">
        <v>1.47</v>
      </c>
      <c r="D755" s="55">
        <v>0.66149999999999998</v>
      </c>
      <c r="E755" s="28" t="s">
        <v>960</v>
      </c>
      <c r="F755" s="55">
        <v>0.61519500000000005</v>
      </c>
      <c r="G755" s="29">
        <v>44652</v>
      </c>
      <c r="H755" s="30">
        <v>44926</v>
      </c>
    </row>
    <row r="756" spans="1:8" x14ac:dyDescent="0.2">
      <c r="A756" s="32">
        <v>920323</v>
      </c>
      <c r="B756" s="27" t="s">
        <v>963</v>
      </c>
      <c r="C756" s="55">
        <v>1.2389999999999999</v>
      </c>
      <c r="D756" s="55">
        <v>0.55754999999999999</v>
      </c>
      <c r="E756" s="28" t="s">
        <v>960</v>
      </c>
      <c r="F756" s="55">
        <v>0.51852149999999997</v>
      </c>
      <c r="G756" s="29">
        <v>44652</v>
      </c>
      <c r="H756" s="30">
        <v>44926</v>
      </c>
    </row>
    <row r="757" spans="1:8" x14ac:dyDescent="0.2">
      <c r="A757" s="32">
        <v>920327</v>
      </c>
      <c r="B757" s="27" t="s">
        <v>535</v>
      </c>
      <c r="C757" s="55">
        <v>46.46</v>
      </c>
      <c r="D757" s="55">
        <v>20.907</v>
      </c>
      <c r="E757" s="28" t="s">
        <v>8</v>
      </c>
      <c r="F757" s="55"/>
      <c r="G757" s="29">
        <v>44652</v>
      </c>
      <c r="H757" s="30">
        <v>44926</v>
      </c>
    </row>
    <row r="758" spans="1:8" x14ac:dyDescent="0.2">
      <c r="A758" s="32">
        <v>920328</v>
      </c>
      <c r="B758" s="27" t="s">
        <v>1220</v>
      </c>
      <c r="C758" s="55">
        <v>60.5</v>
      </c>
      <c r="D758" s="55">
        <v>27.225000000000001</v>
      </c>
      <c r="E758" s="28" t="s">
        <v>8</v>
      </c>
      <c r="F758" s="55"/>
      <c r="G758" s="29">
        <v>44652</v>
      </c>
      <c r="H758" s="30">
        <v>44926</v>
      </c>
    </row>
    <row r="759" spans="1:8" x14ac:dyDescent="0.2">
      <c r="A759" s="32">
        <v>920329</v>
      </c>
      <c r="B759" s="27" t="s">
        <v>1216</v>
      </c>
      <c r="C759" s="55">
        <v>56</v>
      </c>
      <c r="D759" s="55">
        <v>25.2</v>
      </c>
      <c r="E759" s="28" t="s">
        <v>8</v>
      </c>
      <c r="F759" s="55"/>
      <c r="G759" s="29">
        <v>44652</v>
      </c>
      <c r="H759" s="30">
        <v>44926</v>
      </c>
    </row>
    <row r="760" spans="1:8" x14ac:dyDescent="0.2">
      <c r="A760" s="32">
        <v>920331</v>
      </c>
      <c r="B760" s="27" t="s">
        <v>536</v>
      </c>
      <c r="C760" s="55">
        <v>60</v>
      </c>
      <c r="D760" s="55">
        <v>27</v>
      </c>
      <c r="E760" s="28" t="s">
        <v>8</v>
      </c>
      <c r="F760" s="55"/>
      <c r="G760" s="29">
        <v>44652</v>
      </c>
      <c r="H760" s="30">
        <v>44926</v>
      </c>
    </row>
    <row r="761" spans="1:8" x14ac:dyDescent="0.2">
      <c r="A761" s="32">
        <v>920332</v>
      </c>
      <c r="B761" s="27" t="s">
        <v>1221</v>
      </c>
      <c r="C761" s="55">
        <v>79</v>
      </c>
      <c r="D761" s="55">
        <v>35.550000000000004</v>
      </c>
      <c r="E761" s="28" t="s">
        <v>8</v>
      </c>
      <c r="F761" s="55"/>
      <c r="G761" s="29">
        <v>44652</v>
      </c>
      <c r="H761" s="30">
        <v>44926</v>
      </c>
    </row>
    <row r="762" spans="1:8" x14ac:dyDescent="0.2">
      <c r="A762" s="32">
        <v>920333</v>
      </c>
      <c r="B762" s="27" t="s">
        <v>537</v>
      </c>
      <c r="C762" s="55">
        <v>64</v>
      </c>
      <c r="D762" s="55">
        <v>28.8</v>
      </c>
      <c r="E762" s="28" t="s">
        <v>8</v>
      </c>
      <c r="F762" s="55"/>
      <c r="G762" s="29">
        <v>44652</v>
      </c>
      <c r="H762" s="30">
        <v>44926</v>
      </c>
    </row>
    <row r="763" spans="1:8" x14ac:dyDescent="0.2">
      <c r="A763" s="32">
        <v>920334</v>
      </c>
      <c r="B763" s="27" t="s">
        <v>538</v>
      </c>
      <c r="C763" s="55">
        <v>72</v>
      </c>
      <c r="D763" s="55">
        <v>32.4</v>
      </c>
      <c r="E763" s="28" t="s">
        <v>8</v>
      </c>
      <c r="F763" s="55"/>
      <c r="G763" s="29">
        <v>44652</v>
      </c>
      <c r="H763" s="30">
        <v>44926</v>
      </c>
    </row>
    <row r="764" spans="1:8" x14ac:dyDescent="0.2">
      <c r="A764" s="32">
        <v>920343</v>
      </c>
      <c r="B764" s="27" t="s">
        <v>1217</v>
      </c>
      <c r="C764" s="55">
        <v>52</v>
      </c>
      <c r="D764" s="55">
        <v>23.400000000000002</v>
      </c>
      <c r="E764" s="28" t="s">
        <v>8</v>
      </c>
      <c r="F764" s="55"/>
      <c r="G764" s="29">
        <v>44652</v>
      </c>
      <c r="H764" s="30">
        <v>44926</v>
      </c>
    </row>
    <row r="765" spans="1:8" x14ac:dyDescent="0.2">
      <c r="A765" s="32">
        <v>920346</v>
      </c>
      <c r="B765" s="27" t="s">
        <v>1219</v>
      </c>
      <c r="C765" s="55">
        <v>48</v>
      </c>
      <c r="D765" s="55">
        <v>21.6</v>
      </c>
      <c r="E765" s="28" t="s">
        <v>8</v>
      </c>
      <c r="F765" s="55"/>
      <c r="G765" s="29">
        <v>44652</v>
      </c>
      <c r="H765" s="30">
        <v>44926</v>
      </c>
    </row>
    <row r="766" spans="1:8" x14ac:dyDescent="0.2">
      <c r="A766" s="32">
        <v>920355</v>
      </c>
      <c r="B766" s="27" t="s">
        <v>1218</v>
      </c>
      <c r="C766" s="55">
        <v>63</v>
      </c>
      <c r="D766" s="55">
        <v>28.35</v>
      </c>
      <c r="E766" s="28" t="s">
        <v>8</v>
      </c>
      <c r="F766" s="55"/>
      <c r="G766" s="29">
        <v>44652</v>
      </c>
      <c r="H766" s="30">
        <v>44926</v>
      </c>
    </row>
    <row r="767" spans="1:8" x14ac:dyDescent="0.2">
      <c r="A767" s="32">
        <v>920363</v>
      </c>
      <c r="B767" s="27" t="s">
        <v>539</v>
      </c>
      <c r="C767" s="55">
        <v>510</v>
      </c>
      <c r="D767" s="55">
        <v>229.5</v>
      </c>
      <c r="E767" s="28" t="s">
        <v>8</v>
      </c>
      <c r="F767" s="55"/>
      <c r="G767" s="29">
        <v>44652</v>
      </c>
      <c r="H767" s="30">
        <v>44926</v>
      </c>
    </row>
    <row r="768" spans="1:8" x14ac:dyDescent="0.2">
      <c r="A768" s="32">
        <v>920364</v>
      </c>
      <c r="B768" s="27" t="s">
        <v>1223</v>
      </c>
      <c r="C768" s="55">
        <v>505</v>
      </c>
      <c r="D768" s="55">
        <v>227.25</v>
      </c>
      <c r="E768" s="28" t="s">
        <v>8</v>
      </c>
      <c r="F768" s="55"/>
      <c r="G768" s="29">
        <v>44652</v>
      </c>
      <c r="H768" s="30">
        <v>44926</v>
      </c>
    </row>
    <row r="769" spans="1:8" x14ac:dyDescent="0.2">
      <c r="A769" s="32">
        <v>920365</v>
      </c>
      <c r="B769" s="27" t="s">
        <v>540</v>
      </c>
      <c r="C769" s="55">
        <v>278</v>
      </c>
      <c r="D769" s="55">
        <v>125.10000000000001</v>
      </c>
      <c r="E769" s="28" t="s">
        <v>8</v>
      </c>
      <c r="F769" s="55"/>
      <c r="G769" s="29">
        <v>44652</v>
      </c>
      <c r="H769" s="30">
        <v>44926</v>
      </c>
    </row>
    <row r="770" spans="1:8" x14ac:dyDescent="0.2">
      <c r="A770" s="32">
        <v>920366</v>
      </c>
      <c r="B770" s="27" t="s">
        <v>541</v>
      </c>
      <c r="C770" s="55">
        <v>269</v>
      </c>
      <c r="D770" s="55">
        <v>121.05</v>
      </c>
      <c r="E770" s="28" t="s">
        <v>8</v>
      </c>
      <c r="F770" s="55"/>
      <c r="G770" s="29">
        <v>44652</v>
      </c>
      <c r="H770" s="30">
        <v>44926</v>
      </c>
    </row>
    <row r="771" spans="1:8" x14ac:dyDescent="0.2">
      <c r="A771" s="32">
        <v>920367</v>
      </c>
      <c r="B771" s="27" t="s">
        <v>542</v>
      </c>
      <c r="C771" s="55">
        <v>7.6334999999999997</v>
      </c>
      <c r="D771" s="55">
        <v>3.4350749999999999</v>
      </c>
      <c r="E771" s="28" t="s">
        <v>960</v>
      </c>
      <c r="F771" s="55">
        <v>3.1946197500000002</v>
      </c>
      <c r="G771" s="29">
        <v>44652</v>
      </c>
      <c r="H771" s="30">
        <v>44926</v>
      </c>
    </row>
    <row r="772" spans="1:8" x14ac:dyDescent="0.2">
      <c r="A772" s="32">
        <v>920371</v>
      </c>
      <c r="B772" s="27" t="s">
        <v>543</v>
      </c>
      <c r="C772" s="55">
        <v>1009.6065</v>
      </c>
      <c r="D772" s="55">
        <v>454.322925</v>
      </c>
      <c r="E772" s="28" t="s">
        <v>8</v>
      </c>
      <c r="F772" s="55"/>
      <c r="G772" s="29">
        <v>44652</v>
      </c>
      <c r="H772" s="30">
        <v>44926</v>
      </c>
    </row>
    <row r="773" spans="1:8" x14ac:dyDescent="0.2">
      <c r="A773" s="32">
        <v>920372</v>
      </c>
      <c r="B773" s="27" t="s">
        <v>544</v>
      </c>
      <c r="C773" s="55">
        <v>1691.6025</v>
      </c>
      <c r="D773" s="55">
        <v>761.22112500000003</v>
      </c>
      <c r="E773" s="28" t="s">
        <v>8</v>
      </c>
      <c r="F773" s="55"/>
      <c r="G773" s="29">
        <v>44652</v>
      </c>
      <c r="H773" s="30">
        <v>44926</v>
      </c>
    </row>
    <row r="774" spans="1:8" x14ac:dyDescent="0.2">
      <c r="A774" s="32">
        <v>920373</v>
      </c>
      <c r="B774" s="27" t="s">
        <v>545</v>
      </c>
      <c r="C774" s="55">
        <v>5065.6724999999997</v>
      </c>
      <c r="D774" s="55">
        <v>2279.5526249999998</v>
      </c>
      <c r="E774" s="28" t="s">
        <v>8</v>
      </c>
      <c r="F774" s="55"/>
      <c r="G774" s="29">
        <v>44652</v>
      </c>
      <c r="H774" s="30">
        <v>44926</v>
      </c>
    </row>
    <row r="775" spans="1:8" x14ac:dyDescent="0.2">
      <c r="A775" s="32">
        <v>920374</v>
      </c>
      <c r="B775" s="27" t="s">
        <v>546</v>
      </c>
      <c r="C775" s="55">
        <v>4123.665</v>
      </c>
      <c r="D775" s="55">
        <v>1855.6492499999999</v>
      </c>
      <c r="E775" s="28" t="s">
        <v>8</v>
      </c>
      <c r="F775" s="55"/>
      <c r="G775" s="29">
        <v>44652</v>
      </c>
      <c r="H775" s="30">
        <v>44926</v>
      </c>
    </row>
    <row r="776" spans="1:8" x14ac:dyDescent="0.2">
      <c r="A776" s="32">
        <v>920376</v>
      </c>
      <c r="B776" s="27" t="s">
        <v>547</v>
      </c>
      <c r="C776" s="55">
        <v>5956.7025000000003</v>
      </c>
      <c r="D776" s="55">
        <v>2680.5161250000001</v>
      </c>
      <c r="E776" s="28" t="s">
        <v>8</v>
      </c>
      <c r="F776" s="55"/>
      <c r="G776" s="29">
        <v>44652</v>
      </c>
      <c r="H776" s="30">
        <v>44926</v>
      </c>
    </row>
    <row r="777" spans="1:8" x14ac:dyDescent="0.2">
      <c r="A777" s="32">
        <v>920378</v>
      </c>
      <c r="B777" s="27" t="s">
        <v>548</v>
      </c>
      <c r="C777" s="55">
        <v>20.916000000000004</v>
      </c>
      <c r="D777" s="55">
        <v>9.4122000000000021</v>
      </c>
      <c r="E777" s="28" t="s">
        <v>8</v>
      </c>
      <c r="F777" s="55"/>
      <c r="G777" s="29">
        <v>44652</v>
      </c>
      <c r="H777" s="30">
        <v>44926</v>
      </c>
    </row>
    <row r="778" spans="1:8" x14ac:dyDescent="0.2">
      <c r="A778" s="32">
        <v>920379</v>
      </c>
      <c r="B778" s="27" t="s">
        <v>549</v>
      </c>
      <c r="C778" s="55">
        <v>32.455500000000001</v>
      </c>
      <c r="D778" s="55">
        <v>14.604975000000001</v>
      </c>
      <c r="E778" s="28" t="s">
        <v>8</v>
      </c>
      <c r="F778" s="55"/>
      <c r="G778" s="29">
        <v>44652</v>
      </c>
      <c r="H778" s="30">
        <v>44926</v>
      </c>
    </row>
    <row r="779" spans="1:8" x14ac:dyDescent="0.2">
      <c r="A779" s="32">
        <v>920399</v>
      </c>
      <c r="B779" s="27" t="s">
        <v>550</v>
      </c>
      <c r="C779" s="55">
        <v>1.7849999999999999</v>
      </c>
      <c r="D779" s="55">
        <v>0.80325000000000002</v>
      </c>
      <c r="E779" s="28" t="s">
        <v>954</v>
      </c>
      <c r="F779" s="55">
        <v>0.74702250000000003</v>
      </c>
      <c r="G779" s="29">
        <v>44652</v>
      </c>
      <c r="H779" s="30">
        <v>44926</v>
      </c>
    </row>
    <row r="780" spans="1:8" x14ac:dyDescent="0.2">
      <c r="A780" s="32">
        <v>920402</v>
      </c>
      <c r="B780" s="27" t="s">
        <v>551</v>
      </c>
      <c r="C780" s="55">
        <v>18.82</v>
      </c>
      <c r="D780" s="55">
        <v>8.4690000000000012</v>
      </c>
      <c r="E780" s="28" t="s">
        <v>954</v>
      </c>
      <c r="F780" s="55">
        <v>7.8761700000000019</v>
      </c>
      <c r="G780" s="29">
        <v>44652</v>
      </c>
      <c r="H780" s="30">
        <v>44926</v>
      </c>
    </row>
    <row r="781" spans="1:8" x14ac:dyDescent="0.2">
      <c r="A781" s="32">
        <v>920403</v>
      </c>
      <c r="B781" s="27" t="s">
        <v>552</v>
      </c>
      <c r="C781" s="55">
        <v>3999.66</v>
      </c>
      <c r="D781" s="55">
        <v>1799.847</v>
      </c>
      <c r="E781" s="28" t="s">
        <v>8</v>
      </c>
      <c r="F781" s="55"/>
      <c r="G781" s="29">
        <v>44652</v>
      </c>
      <c r="H781" s="30">
        <v>44926</v>
      </c>
    </row>
    <row r="782" spans="1:8" x14ac:dyDescent="0.2">
      <c r="A782" s="32">
        <v>920404</v>
      </c>
      <c r="B782" s="27" t="s">
        <v>553</v>
      </c>
      <c r="C782" s="55">
        <v>4055.2890000000002</v>
      </c>
      <c r="D782" s="55">
        <v>1824.8800500000002</v>
      </c>
      <c r="E782" s="28" t="s">
        <v>8</v>
      </c>
      <c r="F782" s="55"/>
      <c r="G782" s="29">
        <v>44652</v>
      </c>
      <c r="H782" s="30">
        <v>44926</v>
      </c>
    </row>
    <row r="783" spans="1:8" x14ac:dyDescent="0.2">
      <c r="A783" s="26">
        <v>920409</v>
      </c>
      <c r="B783" s="27" t="s">
        <v>955</v>
      </c>
      <c r="C783" s="55">
        <v>71</v>
      </c>
      <c r="D783" s="55">
        <v>31.95</v>
      </c>
      <c r="E783" s="28" t="s">
        <v>954</v>
      </c>
      <c r="F783" s="55">
        <v>29.7135</v>
      </c>
      <c r="G783" s="29">
        <v>44652</v>
      </c>
      <c r="H783" s="30">
        <v>44926</v>
      </c>
    </row>
    <row r="784" spans="1:8" x14ac:dyDescent="0.2">
      <c r="A784" s="32">
        <v>920411</v>
      </c>
      <c r="B784" s="27" t="s">
        <v>554</v>
      </c>
      <c r="C784" s="55">
        <v>1.2</v>
      </c>
      <c r="D784" s="55">
        <v>0.54</v>
      </c>
      <c r="E784" s="28" t="s">
        <v>960</v>
      </c>
      <c r="F784" s="55">
        <v>0.50220000000000009</v>
      </c>
      <c r="G784" s="29">
        <v>44652</v>
      </c>
      <c r="H784" s="30">
        <v>44926</v>
      </c>
    </row>
    <row r="785" spans="1:8" x14ac:dyDescent="0.2">
      <c r="A785" s="32">
        <v>920412</v>
      </c>
      <c r="B785" s="27" t="s">
        <v>555</v>
      </c>
      <c r="C785" s="55">
        <v>0.78750000000000009</v>
      </c>
      <c r="D785" s="55">
        <v>0.35437500000000005</v>
      </c>
      <c r="E785" s="28" t="s">
        <v>960</v>
      </c>
      <c r="F785" s="55">
        <v>0.32956875000000008</v>
      </c>
      <c r="G785" s="29">
        <v>44652</v>
      </c>
      <c r="H785" s="30">
        <v>44926</v>
      </c>
    </row>
    <row r="786" spans="1:8" x14ac:dyDescent="0.2">
      <c r="A786" s="32">
        <v>920413</v>
      </c>
      <c r="B786" s="27" t="s">
        <v>556</v>
      </c>
      <c r="C786" s="55">
        <v>0.97650000000000015</v>
      </c>
      <c r="D786" s="55">
        <v>0.43942500000000007</v>
      </c>
      <c r="E786" s="28" t="s">
        <v>960</v>
      </c>
      <c r="F786" s="55">
        <v>0.40866525000000009</v>
      </c>
      <c r="G786" s="29">
        <v>44652</v>
      </c>
      <c r="H786" s="30">
        <v>44926</v>
      </c>
    </row>
    <row r="787" spans="1:8" x14ac:dyDescent="0.2">
      <c r="A787" s="32">
        <v>920414</v>
      </c>
      <c r="B787" s="27" t="s">
        <v>557</v>
      </c>
      <c r="C787" s="55">
        <v>8.25</v>
      </c>
      <c r="D787" s="55">
        <v>3.7124999999999999</v>
      </c>
      <c r="E787" s="28" t="s">
        <v>954</v>
      </c>
      <c r="F787" s="55">
        <v>3.4526250000000003</v>
      </c>
      <c r="G787" s="29">
        <v>44652</v>
      </c>
      <c r="H787" s="30">
        <v>44926</v>
      </c>
    </row>
    <row r="788" spans="1:8" x14ac:dyDescent="0.2">
      <c r="A788" s="32">
        <v>920418</v>
      </c>
      <c r="B788" s="27" t="s">
        <v>558</v>
      </c>
      <c r="C788" s="55">
        <v>0.189</v>
      </c>
      <c r="D788" s="55">
        <v>8.5050000000000001E-2</v>
      </c>
      <c r="E788" s="28" t="s">
        <v>961</v>
      </c>
      <c r="F788" s="55">
        <v>7.90965E-2</v>
      </c>
      <c r="G788" s="29">
        <v>44652</v>
      </c>
      <c r="H788" s="30">
        <v>44926</v>
      </c>
    </row>
    <row r="789" spans="1:8" x14ac:dyDescent="0.2">
      <c r="A789" s="32">
        <v>920420</v>
      </c>
      <c r="B789" s="27" t="s">
        <v>559</v>
      </c>
      <c r="C789" s="55">
        <v>0.97650000000000015</v>
      </c>
      <c r="D789" s="55">
        <v>0.43942500000000007</v>
      </c>
      <c r="E789" s="28" t="s">
        <v>960</v>
      </c>
      <c r="F789" s="55">
        <v>0.40866525000000009</v>
      </c>
      <c r="G789" s="29">
        <v>44652</v>
      </c>
      <c r="H789" s="30">
        <v>44926</v>
      </c>
    </row>
    <row r="790" spans="1:8" x14ac:dyDescent="0.2">
      <c r="A790" s="32">
        <v>920424</v>
      </c>
      <c r="B790" s="27" t="s">
        <v>560</v>
      </c>
      <c r="C790" s="55">
        <v>39.511500000000005</v>
      </c>
      <c r="D790" s="55">
        <v>17.780175000000003</v>
      </c>
      <c r="E790" s="28" t="s">
        <v>954</v>
      </c>
      <c r="F790" s="55">
        <v>16.535562750000004</v>
      </c>
      <c r="G790" s="29">
        <v>44652</v>
      </c>
      <c r="H790" s="30">
        <v>44926</v>
      </c>
    </row>
    <row r="791" spans="1:8" x14ac:dyDescent="0.2">
      <c r="A791" s="32">
        <v>920430</v>
      </c>
      <c r="B791" s="27" t="s">
        <v>561</v>
      </c>
      <c r="C791" s="55">
        <v>7.7175000000000002</v>
      </c>
      <c r="D791" s="55">
        <v>3.4728750000000002</v>
      </c>
      <c r="E791" s="28" t="s">
        <v>8</v>
      </c>
      <c r="F791" s="55"/>
      <c r="G791" s="29">
        <v>44652</v>
      </c>
      <c r="H791" s="30">
        <v>44926</v>
      </c>
    </row>
    <row r="792" spans="1:8" x14ac:dyDescent="0.2">
      <c r="A792" s="32">
        <v>920431</v>
      </c>
      <c r="B792" s="27" t="s">
        <v>562</v>
      </c>
      <c r="C792" s="55">
        <v>7.7385000000000002</v>
      </c>
      <c r="D792" s="55">
        <v>3.4823250000000003</v>
      </c>
      <c r="E792" s="28" t="s">
        <v>8</v>
      </c>
      <c r="F792" s="55"/>
      <c r="G792" s="29">
        <v>44652</v>
      </c>
      <c r="H792" s="30">
        <v>44926</v>
      </c>
    </row>
    <row r="793" spans="1:8" x14ac:dyDescent="0.2">
      <c r="A793" s="32">
        <v>920444</v>
      </c>
      <c r="B793" s="27" t="s">
        <v>563</v>
      </c>
      <c r="C793" s="55">
        <v>0.92400000000000004</v>
      </c>
      <c r="D793" s="55">
        <v>0.4158</v>
      </c>
      <c r="E793" s="28" t="s">
        <v>960</v>
      </c>
      <c r="F793" s="55">
        <v>0.38669400000000004</v>
      </c>
      <c r="G793" s="29">
        <v>44652</v>
      </c>
      <c r="H793" s="30">
        <v>44926</v>
      </c>
    </row>
    <row r="794" spans="1:8" x14ac:dyDescent="0.2">
      <c r="A794" s="32">
        <v>920446</v>
      </c>
      <c r="B794" s="27" t="s">
        <v>564</v>
      </c>
      <c r="C794" s="55">
        <v>6.541500000000001</v>
      </c>
      <c r="D794" s="55">
        <v>2.9436750000000007</v>
      </c>
      <c r="E794" s="28" t="s">
        <v>954</v>
      </c>
      <c r="F794" s="55">
        <v>2.737617750000001</v>
      </c>
      <c r="G794" s="29">
        <v>44652</v>
      </c>
      <c r="H794" s="30">
        <v>44926</v>
      </c>
    </row>
    <row r="795" spans="1:8" x14ac:dyDescent="0.2">
      <c r="A795" s="32">
        <v>920449</v>
      </c>
      <c r="B795" s="27" t="s">
        <v>565</v>
      </c>
      <c r="C795" s="55">
        <v>5.5650000000000004</v>
      </c>
      <c r="D795" s="55">
        <v>2.5042500000000003</v>
      </c>
      <c r="E795" s="28" t="s">
        <v>8</v>
      </c>
      <c r="F795" s="55"/>
      <c r="G795" s="29">
        <v>44652</v>
      </c>
      <c r="H795" s="30">
        <v>44926</v>
      </c>
    </row>
    <row r="796" spans="1:8" x14ac:dyDescent="0.2">
      <c r="A796" s="32">
        <v>920450</v>
      </c>
      <c r="B796" s="27" t="s">
        <v>566</v>
      </c>
      <c r="C796" s="55">
        <v>27.499500000000001</v>
      </c>
      <c r="D796" s="55">
        <v>12.374775000000001</v>
      </c>
      <c r="E796" s="28" t="s">
        <v>8</v>
      </c>
      <c r="F796" s="55"/>
      <c r="G796" s="29">
        <v>44652</v>
      </c>
      <c r="H796" s="30">
        <v>44926</v>
      </c>
    </row>
    <row r="797" spans="1:8" x14ac:dyDescent="0.2">
      <c r="A797" s="26">
        <v>920451</v>
      </c>
      <c r="B797" s="27" t="s">
        <v>567</v>
      </c>
      <c r="C797" s="55">
        <v>3.8640000000000003</v>
      </c>
      <c r="D797" s="55">
        <v>1.7388000000000001</v>
      </c>
      <c r="E797" s="28" t="s">
        <v>954</v>
      </c>
      <c r="F797" s="55">
        <v>1.6170840000000002</v>
      </c>
      <c r="G797" s="29">
        <v>44652</v>
      </c>
      <c r="H797" s="30">
        <v>44926</v>
      </c>
    </row>
    <row r="798" spans="1:8" x14ac:dyDescent="0.2">
      <c r="A798" s="26">
        <v>920454</v>
      </c>
      <c r="B798" s="27" t="s">
        <v>568</v>
      </c>
      <c r="C798" s="55">
        <v>13</v>
      </c>
      <c r="D798" s="55">
        <v>5.8500000000000005</v>
      </c>
      <c r="E798" s="28" t="s">
        <v>954</v>
      </c>
      <c r="F798" s="55">
        <v>5.440500000000001</v>
      </c>
      <c r="G798" s="29">
        <v>44652</v>
      </c>
      <c r="H798" s="30">
        <v>44926</v>
      </c>
    </row>
    <row r="799" spans="1:8" x14ac:dyDescent="0.2">
      <c r="A799" s="32">
        <v>920459</v>
      </c>
      <c r="B799" s="27" t="s">
        <v>569</v>
      </c>
      <c r="C799" s="55">
        <v>10.4</v>
      </c>
      <c r="D799" s="55">
        <v>4.6800000000000006</v>
      </c>
      <c r="E799" s="28" t="s">
        <v>954</v>
      </c>
      <c r="F799" s="55">
        <v>4.3524000000000012</v>
      </c>
      <c r="G799" s="29">
        <v>44652</v>
      </c>
      <c r="H799" s="30">
        <v>44926</v>
      </c>
    </row>
    <row r="800" spans="1:8" x14ac:dyDescent="0.2">
      <c r="A800" s="32">
        <v>920460</v>
      </c>
      <c r="B800" s="27" t="s">
        <v>570</v>
      </c>
      <c r="C800" s="55">
        <v>8.1999999999999993</v>
      </c>
      <c r="D800" s="55">
        <v>3.69</v>
      </c>
      <c r="E800" s="28" t="s">
        <v>954</v>
      </c>
      <c r="F800" s="55">
        <v>3.4317000000000002</v>
      </c>
      <c r="G800" s="29">
        <v>44652</v>
      </c>
      <c r="H800" s="30">
        <v>44926</v>
      </c>
    </row>
    <row r="801" spans="1:8" x14ac:dyDescent="0.2">
      <c r="A801" s="26">
        <v>920464</v>
      </c>
      <c r="B801" s="27" t="s">
        <v>571</v>
      </c>
      <c r="C801" s="55">
        <v>12.3</v>
      </c>
      <c r="D801" s="55">
        <v>5.5350000000000001</v>
      </c>
      <c r="E801" s="28" t="s">
        <v>954</v>
      </c>
      <c r="F801" s="55">
        <v>5.1475500000000007</v>
      </c>
      <c r="G801" s="29">
        <v>44652</v>
      </c>
      <c r="H801" s="30">
        <v>44926</v>
      </c>
    </row>
    <row r="802" spans="1:8" x14ac:dyDescent="0.2">
      <c r="A802" s="32">
        <v>920467</v>
      </c>
      <c r="B802" s="27" t="s">
        <v>572</v>
      </c>
      <c r="C802" s="55">
        <v>17.104500000000002</v>
      </c>
      <c r="D802" s="55">
        <v>7.6970250000000009</v>
      </c>
      <c r="E802" s="28" t="s">
        <v>8</v>
      </c>
      <c r="F802" s="55"/>
      <c r="G802" s="29">
        <v>44652</v>
      </c>
      <c r="H802" s="30">
        <v>44926</v>
      </c>
    </row>
    <row r="803" spans="1:8" x14ac:dyDescent="0.2">
      <c r="A803" s="32">
        <v>920468</v>
      </c>
      <c r="B803" s="27" t="s">
        <v>573</v>
      </c>
      <c r="C803" s="55">
        <v>17.104500000000002</v>
      </c>
      <c r="D803" s="55">
        <v>7.6970250000000009</v>
      </c>
      <c r="E803" s="28" t="s">
        <v>8</v>
      </c>
      <c r="F803" s="55"/>
      <c r="G803" s="29">
        <v>44652</v>
      </c>
      <c r="H803" s="30">
        <v>44926</v>
      </c>
    </row>
    <row r="804" spans="1:8" x14ac:dyDescent="0.2">
      <c r="A804" s="32">
        <v>920470</v>
      </c>
      <c r="B804" s="27" t="s">
        <v>574</v>
      </c>
      <c r="C804" s="55">
        <v>2202.5115000000001</v>
      </c>
      <c r="D804" s="55">
        <v>991.13017500000001</v>
      </c>
      <c r="E804" s="28" t="s">
        <v>8</v>
      </c>
      <c r="F804" s="55"/>
      <c r="G804" s="29">
        <v>44652</v>
      </c>
      <c r="H804" s="30">
        <v>44926</v>
      </c>
    </row>
    <row r="805" spans="1:8" x14ac:dyDescent="0.2">
      <c r="A805" s="32">
        <v>920475</v>
      </c>
      <c r="B805" s="27" t="s">
        <v>575</v>
      </c>
      <c r="C805" s="55">
        <v>28.570500000000003</v>
      </c>
      <c r="D805" s="55">
        <v>12.856725000000001</v>
      </c>
      <c r="E805" s="28" t="s">
        <v>8</v>
      </c>
      <c r="F805" s="55"/>
      <c r="G805" s="29">
        <v>44652</v>
      </c>
      <c r="H805" s="30">
        <v>44926</v>
      </c>
    </row>
    <row r="806" spans="1:8" x14ac:dyDescent="0.2">
      <c r="A806" s="32">
        <v>920476</v>
      </c>
      <c r="B806" s="27" t="s">
        <v>576</v>
      </c>
      <c r="C806" s="55">
        <v>28.539000000000001</v>
      </c>
      <c r="D806" s="55">
        <v>12.842550000000001</v>
      </c>
      <c r="E806" s="28" t="s">
        <v>8</v>
      </c>
      <c r="F806" s="55"/>
      <c r="G806" s="29">
        <v>44652</v>
      </c>
      <c r="H806" s="30">
        <v>44926</v>
      </c>
    </row>
    <row r="807" spans="1:8" x14ac:dyDescent="0.2">
      <c r="A807" s="32">
        <v>920485</v>
      </c>
      <c r="B807" s="27" t="s">
        <v>1002</v>
      </c>
      <c r="C807" s="55">
        <v>1138.46</v>
      </c>
      <c r="D807" s="55">
        <v>512.30700000000002</v>
      </c>
      <c r="E807" s="28" t="s">
        <v>8</v>
      </c>
      <c r="F807" s="55"/>
      <c r="G807" s="29">
        <v>44652</v>
      </c>
      <c r="H807" s="30">
        <v>44926</v>
      </c>
    </row>
    <row r="808" spans="1:8" x14ac:dyDescent="0.2">
      <c r="A808" s="32">
        <v>920487</v>
      </c>
      <c r="B808" s="27" t="s">
        <v>577</v>
      </c>
      <c r="C808" s="55">
        <v>4.3049999999999997</v>
      </c>
      <c r="D808" s="55">
        <v>1.9372499999999999</v>
      </c>
      <c r="E808" s="28" t="s">
        <v>8</v>
      </c>
      <c r="F808" s="55"/>
      <c r="G808" s="29">
        <v>44652</v>
      </c>
      <c r="H808" s="30">
        <v>44926</v>
      </c>
    </row>
    <row r="809" spans="1:8" x14ac:dyDescent="0.2">
      <c r="A809" s="32">
        <v>920491</v>
      </c>
      <c r="B809" s="27" t="s">
        <v>979</v>
      </c>
      <c r="C809" s="55">
        <v>40.582500000000003</v>
      </c>
      <c r="D809" s="55">
        <v>18.262125000000001</v>
      </c>
      <c r="E809" s="28" t="s">
        <v>8</v>
      </c>
      <c r="F809" s="55"/>
      <c r="G809" s="29">
        <v>44652</v>
      </c>
      <c r="H809" s="30">
        <v>44926</v>
      </c>
    </row>
    <row r="810" spans="1:8" x14ac:dyDescent="0.2">
      <c r="A810" s="32">
        <v>920493</v>
      </c>
      <c r="B810" s="27" t="s">
        <v>976</v>
      </c>
      <c r="C810" s="55">
        <v>71.998499999999993</v>
      </c>
      <c r="D810" s="55">
        <v>32.399324999999997</v>
      </c>
      <c r="E810" s="28" t="s">
        <v>8</v>
      </c>
      <c r="F810" s="55"/>
      <c r="G810" s="29">
        <v>44652</v>
      </c>
      <c r="H810" s="30">
        <v>44926</v>
      </c>
    </row>
    <row r="811" spans="1:8" x14ac:dyDescent="0.2">
      <c r="A811" s="32">
        <v>920494</v>
      </c>
      <c r="B811" s="27" t="s">
        <v>974</v>
      </c>
      <c r="C811" s="55">
        <v>67.2</v>
      </c>
      <c r="D811" s="55">
        <v>30.240000000000002</v>
      </c>
      <c r="E811" s="28" t="s">
        <v>8</v>
      </c>
      <c r="F811" s="55"/>
      <c r="G811" s="29">
        <v>44652</v>
      </c>
      <c r="H811" s="30">
        <v>44926</v>
      </c>
    </row>
    <row r="812" spans="1:8" x14ac:dyDescent="0.2">
      <c r="A812" s="32">
        <v>920495</v>
      </c>
      <c r="B812" s="27" t="s">
        <v>578</v>
      </c>
      <c r="C812" s="55">
        <v>4.4415000000000004</v>
      </c>
      <c r="D812" s="55">
        <v>1.9986750000000002</v>
      </c>
      <c r="E812" s="28" t="s">
        <v>8</v>
      </c>
      <c r="F812" s="55"/>
      <c r="G812" s="29">
        <v>44652</v>
      </c>
      <c r="H812" s="30">
        <v>44926</v>
      </c>
    </row>
    <row r="813" spans="1:8" x14ac:dyDescent="0.2">
      <c r="A813" s="26">
        <v>920497</v>
      </c>
      <c r="B813" s="27" t="s">
        <v>956</v>
      </c>
      <c r="C813" s="55">
        <v>12</v>
      </c>
      <c r="D813" s="55">
        <v>5.4</v>
      </c>
      <c r="E813" s="28" t="s">
        <v>954</v>
      </c>
      <c r="F813" s="55">
        <v>5.0220000000000002</v>
      </c>
      <c r="G813" s="29">
        <v>44652</v>
      </c>
      <c r="H813" s="30">
        <v>44926</v>
      </c>
    </row>
    <row r="814" spans="1:8" x14ac:dyDescent="0.2">
      <c r="A814" s="32">
        <v>920507</v>
      </c>
      <c r="B814" s="27" t="s">
        <v>579</v>
      </c>
      <c r="C814" s="55">
        <v>243.768</v>
      </c>
      <c r="D814" s="55">
        <v>109.6956</v>
      </c>
      <c r="E814" s="28" t="s">
        <v>8</v>
      </c>
      <c r="F814" s="55"/>
      <c r="G814" s="29">
        <v>44652</v>
      </c>
      <c r="H814" s="30">
        <v>44926</v>
      </c>
    </row>
    <row r="815" spans="1:8" x14ac:dyDescent="0.2">
      <c r="A815" s="32">
        <v>920508</v>
      </c>
      <c r="B815" s="27" t="s">
        <v>580</v>
      </c>
      <c r="C815" s="55">
        <v>111.6675</v>
      </c>
      <c r="D815" s="55">
        <v>50.250375000000005</v>
      </c>
      <c r="E815" s="28" t="s">
        <v>8</v>
      </c>
      <c r="F815" s="55"/>
      <c r="G815" s="29">
        <v>44652</v>
      </c>
      <c r="H815" s="30">
        <v>44926</v>
      </c>
    </row>
    <row r="816" spans="1:8" x14ac:dyDescent="0.2">
      <c r="A816" s="32">
        <v>920509</v>
      </c>
      <c r="B816" s="27" t="s">
        <v>1003</v>
      </c>
      <c r="C816" s="55">
        <v>133.84350000000001</v>
      </c>
      <c r="D816" s="55">
        <v>60.229575000000004</v>
      </c>
      <c r="E816" s="28" t="s">
        <v>8</v>
      </c>
      <c r="F816" s="55"/>
      <c r="G816" s="29">
        <v>44652</v>
      </c>
      <c r="H816" s="30">
        <v>44926</v>
      </c>
    </row>
    <row r="817" spans="1:8" x14ac:dyDescent="0.2">
      <c r="A817" s="32">
        <v>920530</v>
      </c>
      <c r="B817" s="27" t="s">
        <v>581</v>
      </c>
      <c r="C817" s="55">
        <v>27.85</v>
      </c>
      <c r="D817" s="55">
        <v>12.532500000000001</v>
      </c>
      <c r="E817" s="28" t="s">
        <v>8</v>
      </c>
      <c r="F817" s="55"/>
      <c r="G817" s="29">
        <v>44652</v>
      </c>
      <c r="H817" s="30">
        <v>44926</v>
      </c>
    </row>
    <row r="818" spans="1:8" x14ac:dyDescent="0.2">
      <c r="A818" s="32">
        <v>920545</v>
      </c>
      <c r="B818" s="27" t="s">
        <v>582</v>
      </c>
      <c r="C818" s="55">
        <v>13.776</v>
      </c>
      <c r="D818" s="55">
        <v>6.1992000000000003</v>
      </c>
      <c r="E818" s="28" t="s">
        <v>8</v>
      </c>
      <c r="F818" s="55"/>
      <c r="G818" s="29">
        <v>44652</v>
      </c>
      <c r="H818" s="30">
        <v>44926</v>
      </c>
    </row>
    <row r="819" spans="1:8" x14ac:dyDescent="0.2">
      <c r="A819" s="32">
        <v>920551</v>
      </c>
      <c r="B819" s="27" t="s">
        <v>583</v>
      </c>
      <c r="C819" s="55">
        <v>39.459000000000003</v>
      </c>
      <c r="D819" s="55">
        <v>17.756550000000001</v>
      </c>
      <c r="E819" s="28" t="s">
        <v>8</v>
      </c>
      <c r="F819" s="55"/>
      <c r="G819" s="29">
        <v>44652</v>
      </c>
      <c r="H819" s="30">
        <v>44926</v>
      </c>
    </row>
    <row r="820" spans="1:8" x14ac:dyDescent="0.2">
      <c r="A820" s="32">
        <v>920564</v>
      </c>
      <c r="B820" s="27" t="s">
        <v>584</v>
      </c>
      <c r="C820" s="55">
        <v>82.897500000000008</v>
      </c>
      <c r="D820" s="55">
        <v>37.303875000000005</v>
      </c>
      <c r="E820" s="28" t="s">
        <v>8</v>
      </c>
      <c r="F820" s="55"/>
      <c r="G820" s="29">
        <v>44652</v>
      </c>
      <c r="H820" s="30">
        <v>44926</v>
      </c>
    </row>
    <row r="821" spans="1:8" x14ac:dyDescent="0.2">
      <c r="A821" s="32">
        <v>920567</v>
      </c>
      <c r="B821" s="27" t="s">
        <v>585</v>
      </c>
      <c r="C821" s="55">
        <v>117.51600000000001</v>
      </c>
      <c r="D821" s="55">
        <v>52.882200000000005</v>
      </c>
      <c r="E821" s="28" t="s">
        <v>8</v>
      </c>
      <c r="F821" s="55"/>
      <c r="G821" s="29">
        <v>44652</v>
      </c>
      <c r="H821" s="30">
        <v>44926</v>
      </c>
    </row>
    <row r="822" spans="1:8" x14ac:dyDescent="0.2">
      <c r="A822" s="32">
        <v>920580</v>
      </c>
      <c r="B822" s="27" t="s">
        <v>586</v>
      </c>
      <c r="C822" s="55">
        <v>4.7040000000000006</v>
      </c>
      <c r="D822" s="55">
        <v>2.1168000000000005</v>
      </c>
      <c r="E822" s="28" t="s">
        <v>8</v>
      </c>
      <c r="F822" s="55"/>
      <c r="G822" s="29">
        <v>44652</v>
      </c>
      <c r="H822" s="30">
        <v>44926</v>
      </c>
    </row>
    <row r="823" spans="1:8" x14ac:dyDescent="0.2">
      <c r="A823" s="32">
        <v>920582</v>
      </c>
      <c r="B823" s="27" t="s">
        <v>587</v>
      </c>
      <c r="C823" s="55">
        <v>837.11250000000007</v>
      </c>
      <c r="D823" s="55">
        <v>376.70062500000006</v>
      </c>
      <c r="E823" s="28" t="s">
        <v>8</v>
      </c>
      <c r="F823" s="55"/>
      <c r="G823" s="29">
        <v>44652</v>
      </c>
      <c r="H823" s="30">
        <v>44926</v>
      </c>
    </row>
    <row r="824" spans="1:8" x14ac:dyDescent="0.2">
      <c r="A824" s="32">
        <v>920584</v>
      </c>
      <c r="B824" s="27" t="s">
        <v>588</v>
      </c>
      <c r="C824" s="55">
        <v>4537.8060000000005</v>
      </c>
      <c r="D824" s="55">
        <v>2042.0127000000002</v>
      </c>
      <c r="E824" s="28" t="s">
        <v>8</v>
      </c>
      <c r="F824" s="55"/>
      <c r="G824" s="29">
        <v>44652</v>
      </c>
      <c r="H824" s="30">
        <v>44926</v>
      </c>
    </row>
    <row r="825" spans="1:8" x14ac:dyDescent="0.2">
      <c r="A825" s="32">
        <v>920590</v>
      </c>
      <c r="B825" s="27" t="s">
        <v>589</v>
      </c>
      <c r="C825" s="55">
        <v>313</v>
      </c>
      <c r="D825" s="55">
        <v>140.85</v>
      </c>
      <c r="E825" s="28" t="s">
        <v>8</v>
      </c>
      <c r="F825" s="55"/>
      <c r="G825" s="29">
        <v>44652</v>
      </c>
      <c r="H825" s="30">
        <v>44926</v>
      </c>
    </row>
    <row r="826" spans="1:8" x14ac:dyDescent="0.2">
      <c r="A826" s="32">
        <v>920591</v>
      </c>
      <c r="B826" s="27" t="s">
        <v>590</v>
      </c>
      <c r="C826" s="55">
        <v>313</v>
      </c>
      <c r="D826" s="55">
        <v>140.85</v>
      </c>
      <c r="E826" s="28" t="s">
        <v>8</v>
      </c>
      <c r="F826" s="55"/>
      <c r="G826" s="29">
        <v>44652</v>
      </c>
      <c r="H826" s="30">
        <v>44926</v>
      </c>
    </row>
    <row r="827" spans="1:8" x14ac:dyDescent="0.2">
      <c r="A827" s="32">
        <v>920596</v>
      </c>
      <c r="B827" s="27" t="s">
        <v>1226</v>
      </c>
      <c r="C827" s="55">
        <v>668.71350000000007</v>
      </c>
      <c r="D827" s="55">
        <v>300.92107500000003</v>
      </c>
      <c r="E827" s="28" t="s">
        <v>8</v>
      </c>
      <c r="F827" s="55"/>
      <c r="G827" s="29">
        <v>44652</v>
      </c>
      <c r="H827" s="30">
        <v>44926</v>
      </c>
    </row>
    <row r="828" spans="1:8" x14ac:dyDescent="0.2">
      <c r="A828" s="32">
        <v>920597</v>
      </c>
      <c r="B828" s="27" t="s">
        <v>591</v>
      </c>
      <c r="C828" s="55">
        <v>362.733</v>
      </c>
      <c r="D828" s="55">
        <v>163.22985</v>
      </c>
      <c r="E828" s="28" t="s">
        <v>8</v>
      </c>
      <c r="F828" s="55"/>
      <c r="G828" s="29">
        <v>44652</v>
      </c>
      <c r="H828" s="30">
        <v>44926</v>
      </c>
    </row>
    <row r="829" spans="1:8" x14ac:dyDescent="0.2">
      <c r="A829" s="32">
        <v>920598</v>
      </c>
      <c r="B829" s="27" t="s">
        <v>1227</v>
      </c>
      <c r="C829" s="55">
        <v>345.072</v>
      </c>
      <c r="D829" s="55">
        <v>155.2824</v>
      </c>
      <c r="E829" s="28" t="s">
        <v>8</v>
      </c>
      <c r="F829" s="55"/>
      <c r="G829" s="29">
        <v>44652</v>
      </c>
      <c r="H829" s="30">
        <v>44926</v>
      </c>
    </row>
    <row r="830" spans="1:8" x14ac:dyDescent="0.2">
      <c r="A830" s="32">
        <v>920600</v>
      </c>
      <c r="B830" s="27" t="s">
        <v>592</v>
      </c>
      <c r="C830" s="55">
        <v>2.1</v>
      </c>
      <c r="D830" s="55">
        <v>0.94500000000000006</v>
      </c>
      <c r="E830" s="28" t="s">
        <v>8</v>
      </c>
      <c r="F830" s="55"/>
      <c r="G830" s="29">
        <v>44652</v>
      </c>
      <c r="H830" s="30">
        <v>44926</v>
      </c>
    </row>
    <row r="831" spans="1:8" x14ac:dyDescent="0.2">
      <c r="A831" s="32">
        <v>920602</v>
      </c>
      <c r="B831" s="27" t="s">
        <v>593</v>
      </c>
      <c r="C831" s="55">
        <v>46.672500000000007</v>
      </c>
      <c r="D831" s="55">
        <v>21.002625000000002</v>
      </c>
      <c r="E831" s="28" t="s">
        <v>8</v>
      </c>
      <c r="F831" s="55"/>
      <c r="G831" s="29">
        <v>44652</v>
      </c>
      <c r="H831" s="30">
        <v>44926</v>
      </c>
    </row>
    <row r="832" spans="1:8" x14ac:dyDescent="0.2">
      <c r="A832" s="32">
        <v>920617</v>
      </c>
      <c r="B832" s="27" t="s">
        <v>594</v>
      </c>
      <c r="C832" s="55">
        <v>316.93199999999996</v>
      </c>
      <c r="D832" s="55">
        <v>142.61939999999998</v>
      </c>
      <c r="E832" s="28" t="s">
        <v>8</v>
      </c>
      <c r="F832" s="55"/>
      <c r="G832" s="29">
        <v>44652</v>
      </c>
      <c r="H832" s="30">
        <v>44926</v>
      </c>
    </row>
    <row r="833" spans="1:8" x14ac:dyDescent="0.2">
      <c r="A833" s="32">
        <v>920620</v>
      </c>
      <c r="B833" s="27" t="s">
        <v>595</v>
      </c>
      <c r="C833" s="55">
        <v>57</v>
      </c>
      <c r="D833" s="55">
        <v>25.650000000000002</v>
      </c>
      <c r="E833" s="28" t="s">
        <v>8</v>
      </c>
      <c r="F833" s="55"/>
      <c r="G833" s="29">
        <v>44652</v>
      </c>
      <c r="H833" s="30">
        <v>44926</v>
      </c>
    </row>
    <row r="834" spans="1:8" x14ac:dyDescent="0.2">
      <c r="A834" s="32">
        <v>920622</v>
      </c>
      <c r="B834" s="27" t="s">
        <v>596</v>
      </c>
      <c r="C834" s="55">
        <v>63.661500000000004</v>
      </c>
      <c r="D834" s="55">
        <v>28.647675000000003</v>
      </c>
      <c r="E834" s="28" t="s">
        <v>8</v>
      </c>
      <c r="F834" s="55"/>
      <c r="G834" s="29">
        <v>44652</v>
      </c>
      <c r="H834" s="30">
        <v>44926</v>
      </c>
    </row>
    <row r="835" spans="1:8" x14ac:dyDescent="0.2">
      <c r="A835" s="32">
        <v>920623</v>
      </c>
      <c r="B835" s="27" t="s">
        <v>597</v>
      </c>
      <c r="C835" s="55">
        <v>74.287500000000009</v>
      </c>
      <c r="D835" s="55">
        <v>33.429375000000007</v>
      </c>
      <c r="E835" s="28" t="s">
        <v>8</v>
      </c>
      <c r="F835" s="55"/>
      <c r="G835" s="29">
        <v>44652</v>
      </c>
      <c r="H835" s="30">
        <v>44926</v>
      </c>
    </row>
    <row r="836" spans="1:8" x14ac:dyDescent="0.2">
      <c r="A836" s="32">
        <v>920624</v>
      </c>
      <c r="B836" s="27" t="s">
        <v>598</v>
      </c>
      <c r="C836" s="55">
        <v>9.4710000000000001</v>
      </c>
      <c r="D836" s="55">
        <v>4.2619500000000006</v>
      </c>
      <c r="E836" s="28" t="s">
        <v>954</v>
      </c>
      <c r="F836" s="55">
        <v>3.9636135000000006</v>
      </c>
      <c r="G836" s="29">
        <v>44652</v>
      </c>
      <c r="H836" s="30">
        <v>44926</v>
      </c>
    </row>
    <row r="837" spans="1:8" x14ac:dyDescent="0.2">
      <c r="A837" s="32">
        <v>920625</v>
      </c>
      <c r="B837" s="27" t="s">
        <v>599</v>
      </c>
      <c r="C837" s="55">
        <v>6.5100000000000007</v>
      </c>
      <c r="D837" s="55">
        <v>2.9295000000000004</v>
      </c>
      <c r="E837" s="28" t="s">
        <v>954</v>
      </c>
      <c r="F837" s="55">
        <v>2.7244350000000006</v>
      </c>
      <c r="G837" s="29">
        <v>44652</v>
      </c>
      <c r="H837" s="30">
        <v>44926</v>
      </c>
    </row>
    <row r="838" spans="1:8" x14ac:dyDescent="0.2">
      <c r="A838" s="32">
        <v>920629</v>
      </c>
      <c r="B838" s="27" t="s">
        <v>600</v>
      </c>
      <c r="C838" s="55">
        <v>106.554</v>
      </c>
      <c r="D838" s="55">
        <v>47.949300000000001</v>
      </c>
      <c r="E838" s="28" t="s">
        <v>8</v>
      </c>
      <c r="F838" s="55"/>
      <c r="G838" s="29">
        <v>44652</v>
      </c>
      <c r="H838" s="30">
        <v>44926</v>
      </c>
    </row>
    <row r="839" spans="1:8" x14ac:dyDescent="0.2">
      <c r="A839" s="32">
        <v>920636</v>
      </c>
      <c r="B839" s="27" t="s">
        <v>1222</v>
      </c>
      <c r="C839" s="55">
        <v>46.5</v>
      </c>
      <c r="D839" s="55">
        <v>20.925000000000001</v>
      </c>
      <c r="E839" s="28" t="s">
        <v>8</v>
      </c>
      <c r="F839" s="55"/>
      <c r="G839" s="29">
        <v>44652</v>
      </c>
      <c r="H839" s="30">
        <v>44926</v>
      </c>
    </row>
    <row r="840" spans="1:8" x14ac:dyDescent="0.2">
      <c r="A840" s="32">
        <v>920640</v>
      </c>
      <c r="B840" s="27" t="s">
        <v>601</v>
      </c>
      <c r="C840" s="55">
        <v>12.5</v>
      </c>
      <c r="D840" s="55">
        <v>5.625</v>
      </c>
      <c r="E840" s="28" t="s">
        <v>8</v>
      </c>
      <c r="F840" s="55"/>
      <c r="G840" s="29">
        <v>44652</v>
      </c>
      <c r="H840" s="30">
        <v>44926</v>
      </c>
    </row>
    <row r="841" spans="1:8" x14ac:dyDescent="0.2">
      <c r="A841" s="32">
        <v>920645</v>
      </c>
      <c r="B841" s="27" t="s">
        <v>602</v>
      </c>
      <c r="C841" s="55">
        <v>12.3</v>
      </c>
      <c r="D841" s="55">
        <v>5.5350000000000001</v>
      </c>
      <c r="E841" s="28" t="s">
        <v>8</v>
      </c>
      <c r="F841" s="55"/>
      <c r="G841" s="29">
        <v>44652</v>
      </c>
      <c r="H841" s="30">
        <v>44926</v>
      </c>
    </row>
    <row r="842" spans="1:8" x14ac:dyDescent="0.2">
      <c r="A842" s="32">
        <v>920656</v>
      </c>
      <c r="B842" s="27" t="s">
        <v>603</v>
      </c>
      <c r="C842" s="55">
        <v>9.4499999999999993</v>
      </c>
      <c r="D842" s="55">
        <v>4.2524999999999995</v>
      </c>
      <c r="E842" s="28" t="s">
        <v>8</v>
      </c>
      <c r="F842" s="55"/>
      <c r="G842" s="29">
        <v>44652</v>
      </c>
      <c r="H842" s="30">
        <v>44926</v>
      </c>
    </row>
    <row r="843" spans="1:8" x14ac:dyDescent="0.2">
      <c r="A843" s="32">
        <v>920660</v>
      </c>
      <c r="B843" s="27" t="s">
        <v>604</v>
      </c>
      <c r="C843" s="55">
        <v>22.75</v>
      </c>
      <c r="D843" s="55">
        <v>10.237500000000001</v>
      </c>
      <c r="E843" s="28" t="s">
        <v>8</v>
      </c>
      <c r="F843" s="55"/>
      <c r="G843" s="29">
        <v>44652</v>
      </c>
      <c r="H843" s="30">
        <v>44926</v>
      </c>
    </row>
    <row r="844" spans="1:8" x14ac:dyDescent="0.2">
      <c r="A844" s="32">
        <v>920665</v>
      </c>
      <c r="B844" s="27" t="s">
        <v>605</v>
      </c>
      <c r="C844" s="55">
        <v>12.25</v>
      </c>
      <c r="D844" s="55">
        <v>5.5125000000000002</v>
      </c>
      <c r="E844" s="28" t="s">
        <v>8</v>
      </c>
      <c r="F844" s="55"/>
      <c r="G844" s="29">
        <v>44652</v>
      </c>
      <c r="H844" s="30">
        <v>44926</v>
      </c>
    </row>
    <row r="845" spans="1:8" x14ac:dyDescent="0.2">
      <c r="A845" s="32">
        <v>920666</v>
      </c>
      <c r="B845" s="27" t="s">
        <v>606</v>
      </c>
      <c r="C845" s="55">
        <v>22.6</v>
      </c>
      <c r="D845" s="55">
        <v>10.170000000000002</v>
      </c>
      <c r="E845" s="28" t="s">
        <v>8</v>
      </c>
      <c r="F845" s="55"/>
      <c r="G845" s="29">
        <v>44652</v>
      </c>
      <c r="H845" s="30">
        <v>44926</v>
      </c>
    </row>
    <row r="846" spans="1:8" x14ac:dyDescent="0.2">
      <c r="A846" s="32">
        <v>920675</v>
      </c>
      <c r="B846" s="27" t="s">
        <v>1104</v>
      </c>
      <c r="C846" s="55">
        <v>49.5</v>
      </c>
      <c r="D846" s="55">
        <v>22.275000000000002</v>
      </c>
      <c r="E846" s="28" t="s">
        <v>8</v>
      </c>
      <c r="F846" s="55"/>
      <c r="G846" s="29">
        <v>44652</v>
      </c>
      <c r="H846" s="30">
        <v>44926</v>
      </c>
    </row>
    <row r="847" spans="1:8" x14ac:dyDescent="0.2">
      <c r="A847" s="32">
        <v>920677</v>
      </c>
      <c r="B847" s="27" t="s">
        <v>607</v>
      </c>
      <c r="C847" s="55">
        <v>23.75</v>
      </c>
      <c r="D847" s="55">
        <v>10.6875</v>
      </c>
      <c r="E847" s="28" t="s">
        <v>8</v>
      </c>
      <c r="F847" s="55"/>
      <c r="G847" s="29">
        <v>44652</v>
      </c>
      <c r="H847" s="30">
        <v>44926</v>
      </c>
    </row>
    <row r="848" spans="1:8" x14ac:dyDescent="0.2">
      <c r="A848" s="26">
        <v>920682</v>
      </c>
      <c r="B848" s="27" t="s">
        <v>608</v>
      </c>
      <c r="C848" s="55">
        <v>2.7090000000000001</v>
      </c>
      <c r="D848" s="55">
        <v>1.21905</v>
      </c>
      <c r="E848" s="28" t="s">
        <v>954</v>
      </c>
      <c r="F848" s="55">
        <v>1.1337165</v>
      </c>
      <c r="G848" s="29">
        <v>44652</v>
      </c>
      <c r="H848" s="30">
        <v>44926</v>
      </c>
    </row>
    <row r="849" spans="1:8" x14ac:dyDescent="0.2">
      <c r="A849" s="32">
        <v>920685</v>
      </c>
      <c r="B849" s="27" t="s">
        <v>1004</v>
      </c>
      <c r="C849" s="55">
        <v>55.2</v>
      </c>
      <c r="D849" s="55">
        <v>24.840000000000003</v>
      </c>
      <c r="E849" s="28" t="s">
        <v>954</v>
      </c>
      <c r="F849" s="55">
        <v>23.101200000000006</v>
      </c>
      <c r="G849" s="29">
        <v>44652</v>
      </c>
      <c r="H849" s="30">
        <v>44926</v>
      </c>
    </row>
    <row r="850" spans="1:8" x14ac:dyDescent="0.2">
      <c r="A850" s="32">
        <v>920686</v>
      </c>
      <c r="B850" s="27" t="s">
        <v>609</v>
      </c>
      <c r="C850" s="55">
        <v>53.33</v>
      </c>
      <c r="D850" s="55">
        <v>23.9985</v>
      </c>
      <c r="E850" s="28" t="s">
        <v>954</v>
      </c>
      <c r="F850" s="55">
        <v>22.318605000000002</v>
      </c>
      <c r="G850" s="29">
        <v>44652</v>
      </c>
      <c r="H850" s="30">
        <v>44926</v>
      </c>
    </row>
    <row r="851" spans="1:8" x14ac:dyDescent="0.2">
      <c r="A851" s="32">
        <v>920687</v>
      </c>
      <c r="B851" s="27" t="s">
        <v>610</v>
      </c>
      <c r="C851" s="55">
        <v>50.4</v>
      </c>
      <c r="D851" s="55">
        <v>22.68</v>
      </c>
      <c r="E851" s="28" t="s">
        <v>954</v>
      </c>
      <c r="F851" s="55">
        <v>21.092400000000001</v>
      </c>
      <c r="G851" s="29">
        <v>44652</v>
      </c>
      <c r="H851" s="30">
        <v>44926</v>
      </c>
    </row>
    <row r="852" spans="1:8" x14ac:dyDescent="0.2">
      <c r="A852" s="32">
        <v>920688</v>
      </c>
      <c r="B852" s="27" t="s">
        <v>611</v>
      </c>
      <c r="C852" s="55">
        <v>50.400000000000006</v>
      </c>
      <c r="D852" s="55">
        <v>22.680000000000003</v>
      </c>
      <c r="E852" s="28" t="s">
        <v>954</v>
      </c>
      <c r="F852" s="55">
        <v>21.092400000000005</v>
      </c>
      <c r="G852" s="29">
        <v>44652</v>
      </c>
      <c r="H852" s="30">
        <v>44926</v>
      </c>
    </row>
    <row r="853" spans="1:8" x14ac:dyDescent="0.2">
      <c r="A853" s="32">
        <v>920692</v>
      </c>
      <c r="B853" s="27" t="s">
        <v>612</v>
      </c>
      <c r="C853" s="55">
        <v>127.89</v>
      </c>
      <c r="D853" s="55">
        <v>57.5505</v>
      </c>
      <c r="E853" s="28"/>
      <c r="F853" s="55">
        <v>53.521965000000002</v>
      </c>
      <c r="G853" s="29">
        <v>44652</v>
      </c>
      <c r="H853" s="30">
        <v>44926</v>
      </c>
    </row>
    <row r="854" spans="1:8" x14ac:dyDescent="0.2">
      <c r="A854" s="32">
        <v>920697</v>
      </c>
      <c r="B854" s="27" t="s">
        <v>613</v>
      </c>
      <c r="C854" s="55">
        <v>64</v>
      </c>
      <c r="D854" s="55">
        <v>28.8</v>
      </c>
      <c r="E854" s="28" t="s">
        <v>8</v>
      </c>
      <c r="F854" s="55"/>
      <c r="G854" s="29">
        <v>44652</v>
      </c>
      <c r="H854" s="30">
        <v>44926</v>
      </c>
    </row>
    <row r="855" spans="1:8" x14ac:dyDescent="0.2">
      <c r="A855" s="32">
        <v>920701</v>
      </c>
      <c r="B855" s="27" t="s">
        <v>614</v>
      </c>
      <c r="C855" s="55">
        <v>50.5</v>
      </c>
      <c r="D855" s="55">
        <v>22.725000000000001</v>
      </c>
      <c r="E855" s="28" t="s">
        <v>8</v>
      </c>
      <c r="F855" s="55"/>
      <c r="G855" s="29">
        <v>44652</v>
      </c>
      <c r="H855" s="30">
        <v>44926</v>
      </c>
    </row>
    <row r="856" spans="1:8" x14ac:dyDescent="0.2">
      <c r="A856" s="32">
        <v>920704</v>
      </c>
      <c r="B856" s="27" t="s">
        <v>1228</v>
      </c>
      <c r="C856" s="55">
        <v>62.936999999999998</v>
      </c>
      <c r="D856" s="55">
        <v>28.321649999999998</v>
      </c>
      <c r="E856" s="28" t="s">
        <v>8</v>
      </c>
      <c r="F856" s="55"/>
      <c r="G856" s="29">
        <v>44652</v>
      </c>
      <c r="H856" s="30">
        <v>44926</v>
      </c>
    </row>
    <row r="857" spans="1:8" x14ac:dyDescent="0.2">
      <c r="A857" s="32">
        <v>920715</v>
      </c>
      <c r="B857" s="27" t="s">
        <v>615</v>
      </c>
      <c r="C857" s="55">
        <v>14</v>
      </c>
      <c r="D857" s="55">
        <v>6.3</v>
      </c>
      <c r="E857" s="28" t="s">
        <v>8</v>
      </c>
      <c r="F857" s="55"/>
      <c r="G857" s="29">
        <v>44652</v>
      </c>
      <c r="H857" s="30">
        <v>44926</v>
      </c>
    </row>
    <row r="858" spans="1:8" x14ac:dyDescent="0.2">
      <c r="A858" s="32">
        <v>920716</v>
      </c>
      <c r="B858" s="27" t="s">
        <v>616</v>
      </c>
      <c r="C858" s="55">
        <v>14.25</v>
      </c>
      <c r="D858" s="55">
        <v>6.4125000000000005</v>
      </c>
      <c r="E858" s="28" t="s">
        <v>8</v>
      </c>
      <c r="F858" s="55"/>
      <c r="G858" s="29">
        <v>44652</v>
      </c>
      <c r="H858" s="30">
        <v>44926</v>
      </c>
    </row>
    <row r="859" spans="1:8" x14ac:dyDescent="0.2">
      <c r="A859" s="32">
        <v>920717</v>
      </c>
      <c r="B859" s="27" t="s">
        <v>617</v>
      </c>
      <c r="C859" s="55">
        <v>15.75</v>
      </c>
      <c r="D859" s="55">
        <v>7.0875000000000004</v>
      </c>
      <c r="E859" s="28" t="s">
        <v>8</v>
      </c>
      <c r="F859" s="55"/>
      <c r="G859" s="29">
        <v>44652</v>
      </c>
      <c r="H859" s="30">
        <v>44926</v>
      </c>
    </row>
    <row r="860" spans="1:8" x14ac:dyDescent="0.2">
      <c r="A860" s="32">
        <v>920718</v>
      </c>
      <c r="B860" s="27" t="s">
        <v>618</v>
      </c>
      <c r="C860" s="55">
        <v>12.0855</v>
      </c>
      <c r="D860" s="55">
        <v>5.4384750000000004</v>
      </c>
      <c r="E860" s="28" t="s">
        <v>8</v>
      </c>
      <c r="F860" s="55"/>
      <c r="G860" s="29">
        <v>44652</v>
      </c>
      <c r="H860" s="30">
        <v>44926</v>
      </c>
    </row>
    <row r="861" spans="1:8" x14ac:dyDescent="0.2">
      <c r="A861" s="32">
        <v>920721</v>
      </c>
      <c r="B861" s="27" t="s">
        <v>619</v>
      </c>
      <c r="C861" s="55">
        <v>10.75</v>
      </c>
      <c r="D861" s="55">
        <v>4.8375000000000004</v>
      </c>
      <c r="E861" s="28" t="s">
        <v>8</v>
      </c>
      <c r="F861" s="55"/>
      <c r="G861" s="29">
        <v>44652</v>
      </c>
      <c r="H861" s="30">
        <v>44926</v>
      </c>
    </row>
    <row r="862" spans="1:8" x14ac:dyDescent="0.2">
      <c r="A862" s="32">
        <v>920722</v>
      </c>
      <c r="B862" s="27" t="s">
        <v>1106</v>
      </c>
      <c r="C862" s="55">
        <v>13.1</v>
      </c>
      <c r="D862" s="55">
        <v>5.8949999999999996</v>
      </c>
      <c r="E862" s="28" t="s">
        <v>8</v>
      </c>
      <c r="F862" s="55"/>
      <c r="G862" s="29">
        <v>44652</v>
      </c>
      <c r="H862" s="30">
        <v>44926</v>
      </c>
    </row>
    <row r="863" spans="1:8" x14ac:dyDescent="0.2">
      <c r="A863" s="32">
        <v>920727</v>
      </c>
      <c r="B863" s="27" t="s">
        <v>1214</v>
      </c>
      <c r="C863" s="55">
        <v>59.5</v>
      </c>
      <c r="D863" s="55">
        <v>26.775000000000002</v>
      </c>
      <c r="E863" s="28" t="s">
        <v>8</v>
      </c>
      <c r="F863" s="55"/>
      <c r="G863" s="29">
        <v>44652</v>
      </c>
      <c r="H863" s="30">
        <v>44926</v>
      </c>
    </row>
    <row r="864" spans="1:8" x14ac:dyDescent="0.2">
      <c r="A864" s="32">
        <v>920728</v>
      </c>
      <c r="B864" s="27" t="s">
        <v>620</v>
      </c>
      <c r="C864" s="55">
        <v>57</v>
      </c>
      <c r="D864" s="55">
        <v>25.650000000000002</v>
      </c>
      <c r="E864" s="28" t="s">
        <v>8</v>
      </c>
      <c r="F864" s="55"/>
      <c r="G864" s="29">
        <v>44652</v>
      </c>
      <c r="H864" s="30">
        <v>44926</v>
      </c>
    </row>
    <row r="865" spans="1:8" x14ac:dyDescent="0.2">
      <c r="A865" s="32">
        <v>920736</v>
      </c>
      <c r="B865" s="27" t="s">
        <v>621</v>
      </c>
      <c r="C865" s="55">
        <v>128.3415</v>
      </c>
      <c r="D865" s="55">
        <v>57.753675000000001</v>
      </c>
      <c r="E865" s="28" t="s">
        <v>8</v>
      </c>
      <c r="F865" s="55"/>
      <c r="G865" s="29">
        <v>44652</v>
      </c>
      <c r="H865" s="30">
        <v>44926</v>
      </c>
    </row>
    <row r="866" spans="1:8" x14ac:dyDescent="0.2">
      <c r="A866" s="32">
        <v>920738</v>
      </c>
      <c r="B866" s="27" t="s">
        <v>622</v>
      </c>
      <c r="C866" s="55">
        <v>52.752000000000002</v>
      </c>
      <c r="D866" s="55">
        <v>23.738400000000002</v>
      </c>
      <c r="E866" s="28" t="s">
        <v>8</v>
      </c>
      <c r="F866" s="55"/>
      <c r="G866" s="29">
        <v>44652</v>
      </c>
      <c r="H866" s="30">
        <v>44926</v>
      </c>
    </row>
    <row r="867" spans="1:8" x14ac:dyDescent="0.2">
      <c r="A867" s="32">
        <v>920741</v>
      </c>
      <c r="B867" s="27" t="s">
        <v>623</v>
      </c>
      <c r="C867" s="55">
        <v>16.5</v>
      </c>
      <c r="D867" s="55">
        <v>7.4249999999999998</v>
      </c>
      <c r="E867" s="28" t="s">
        <v>8</v>
      </c>
      <c r="F867" s="55"/>
      <c r="G867" s="29">
        <v>44652</v>
      </c>
      <c r="H867" s="30">
        <v>44926</v>
      </c>
    </row>
    <row r="868" spans="1:8" x14ac:dyDescent="0.2">
      <c r="A868" s="32">
        <v>920742</v>
      </c>
      <c r="B868" s="27" t="s">
        <v>1229</v>
      </c>
      <c r="C868" s="55">
        <v>13.954499999999999</v>
      </c>
      <c r="D868" s="55">
        <v>6.2795249999999996</v>
      </c>
      <c r="E868" s="28" t="s">
        <v>954</v>
      </c>
      <c r="F868" s="55">
        <v>5.8399582499999996</v>
      </c>
      <c r="G868" s="29">
        <v>44652</v>
      </c>
      <c r="H868" s="30">
        <v>44926</v>
      </c>
    </row>
    <row r="869" spans="1:8" x14ac:dyDescent="0.2">
      <c r="A869" s="32">
        <v>920745</v>
      </c>
      <c r="B869" s="27" t="s">
        <v>624</v>
      </c>
      <c r="C869" s="55">
        <v>16</v>
      </c>
      <c r="D869" s="55">
        <v>7.2</v>
      </c>
      <c r="E869" s="28" t="s">
        <v>8</v>
      </c>
      <c r="F869" s="55"/>
      <c r="G869" s="29">
        <v>44652</v>
      </c>
      <c r="H869" s="30">
        <v>44926</v>
      </c>
    </row>
    <row r="870" spans="1:8" x14ac:dyDescent="0.2">
      <c r="A870" s="32">
        <v>920746</v>
      </c>
      <c r="B870" s="27" t="s">
        <v>625</v>
      </c>
      <c r="C870" s="55">
        <v>19.75</v>
      </c>
      <c r="D870" s="55">
        <v>8.8875000000000011</v>
      </c>
      <c r="E870" s="28" t="s">
        <v>8</v>
      </c>
      <c r="F870" s="55"/>
      <c r="G870" s="29">
        <v>44652</v>
      </c>
      <c r="H870" s="30">
        <v>44926</v>
      </c>
    </row>
    <row r="871" spans="1:8" x14ac:dyDescent="0.2">
      <c r="A871" s="32">
        <v>920747</v>
      </c>
      <c r="B871" s="27" t="s">
        <v>626</v>
      </c>
      <c r="C871" s="55">
        <v>16.399999999999999</v>
      </c>
      <c r="D871" s="55">
        <v>7.38</v>
      </c>
      <c r="E871" s="28" t="s">
        <v>8</v>
      </c>
      <c r="F871" s="55"/>
      <c r="G871" s="29">
        <v>44652</v>
      </c>
      <c r="H871" s="30">
        <v>44926</v>
      </c>
    </row>
    <row r="872" spans="1:8" x14ac:dyDescent="0.2">
      <c r="A872" s="32">
        <v>920748</v>
      </c>
      <c r="B872" s="27" t="s">
        <v>1107</v>
      </c>
      <c r="C872" s="55">
        <v>23.75</v>
      </c>
      <c r="D872" s="55">
        <v>10.6875</v>
      </c>
      <c r="E872" s="28" t="s">
        <v>8</v>
      </c>
      <c r="F872" s="55"/>
      <c r="G872" s="29">
        <v>44652</v>
      </c>
      <c r="H872" s="30">
        <v>44926</v>
      </c>
    </row>
    <row r="873" spans="1:8" x14ac:dyDescent="0.2">
      <c r="A873" s="32">
        <v>920750</v>
      </c>
      <c r="B873" s="27" t="s">
        <v>627</v>
      </c>
      <c r="C873" s="55">
        <v>11.3</v>
      </c>
      <c r="D873" s="55">
        <v>5.0850000000000009</v>
      </c>
      <c r="E873" s="28" t="s">
        <v>8</v>
      </c>
      <c r="F873" s="55"/>
      <c r="G873" s="29">
        <v>44652</v>
      </c>
      <c r="H873" s="30">
        <v>44926</v>
      </c>
    </row>
    <row r="874" spans="1:8" x14ac:dyDescent="0.2">
      <c r="A874" s="32">
        <v>920752</v>
      </c>
      <c r="B874" s="27" t="s">
        <v>628</v>
      </c>
      <c r="C874" s="55">
        <v>13.5</v>
      </c>
      <c r="D874" s="55">
        <v>6.0750000000000002</v>
      </c>
      <c r="E874" s="28" t="s">
        <v>8</v>
      </c>
      <c r="F874" s="55"/>
      <c r="G874" s="29">
        <v>44652</v>
      </c>
      <c r="H874" s="30">
        <v>44926</v>
      </c>
    </row>
    <row r="875" spans="1:8" x14ac:dyDescent="0.2">
      <c r="A875" s="32">
        <v>920755</v>
      </c>
      <c r="B875" s="27" t="s">
        <v>629</v>
      </c>
      <c r="C875" s="55">
        <v>8.5</v>
      </c>
      <c r="D875" s="55">
        <v>3.8250000000000002</v>
      </c>
      <c r="E875" s="28" t="s">
        <v>8</v>
      </c>
      <c r="F875" s="55"/>
      <c r="G875" s="29">
        <v>44652</v>
      </c>
      <c r="H875" s="30">
        <v>44926</v>
      </c>
    </row>
    <row r="876" spans="1:8" x14ac:dyDescent="0.2">
      <c r="A876" s="32">
        <v>920756</v>
      </c>
      <c r="B876" s="27" t="s">
        <v>630</v>
      </c>
      <c r="C876" s="55">
        <v>10.8</v>
      </c>
      <c r="D876" s="55">
        <v>4.8600000000000003</v>
      </c>
      <c r="E876" s="28" t="s">
        <v>8</v>
      </c>
      <c r="F876" s="55"/>
      <c r="G876" s="29">
        <v>44652</v>
      </c>
      <c r="H876" s="30">
        <v>44926</v>
      </c>
    </row>
    <row r="877" spans="1:8" x14ac:dyDescent="0.2">
      <c r="A877" s="32">
        <v>920757</v>
      </c>
      <c r="B877" s="27" t="s">
        <v>631</v>
      </c>
      <c r="C877" s="55">
        <v>9.1</v>
      </c>
      <c r="D877" s="55">
        <v>4.0949999999999998</v>
      </c>
      <c r="E877" s="28" t="s">
        <v>8</v>
      </c>
      <c r="F877" s="55"/>
      <c r="G877" s="29">
        <v>44652</v>
      </c>
      <c r="H877" s="30">
        <v>44926</v>
      </c>
    </row>
    <row r="878" spans="1:8" x14ac:dyDescent="0.2">
      <c r="A878" s="32">
        <v>920768</v>
      </c>
      <c r="B878" s="27" t="s">
        <v>1233</v>
      </c>
      <c r="C878" s="55">
        <v>41.307000000000002</v>
      </c>
      <c r="D878" s="55">
        <v>18.588150000000002</v>
      </c>
      <c r="E878" s="28" t="s">
        <v>8</v>
      </c>
      <c r="F878" s="55"/>
      <c r="G878" s="29">
        <v>44652</v>
      </c>
      <c r="H878" s="30">
        <v>44926</v>
      </c>
    </row>
    <row r="879" spans="1:8" x14ac:dyDescent="0.2">
      <c r="A879" s="32">
        <v>920770</v>
      </c>
      <c r="B879" s="27" t="s">
        <v>1224</v>
      </c>
      <c r="C879" s="55">
        <v>460</v>
      </c>
      <c r="D879" s="55">
        <v>207</v>
      </c>
      <c r="E879" s="28" t="s">
        <v>8</v>
      </c>
      <c r="F879" s="55"/>
      <c r="G879" s="29">
        <v>44652</v>
      </c>
      <c r="H879" s="30">
        <v>44926</v>
      </c>
    </row>
    <row r="880" spans="1:8" x14ac:dyDescent="0.2">
      <c r="A880" s="32">
        <v>920771</v>
      </c>
      <c r="B880" s="27" t="s">
        <v>1225</v>
      </c>
      <c r="C880" s="55">
        <v>480</v>
      </c>
      <c r="D880" s="55">
        <v>216</v>
      </c>
      <c r="E880" s="28" t="s">
        <v>8</v>
      </c>
      <c r="F880" s="55"/>
      <c r="G880" s="29">
        <v>44652</v>
      </c>
      <c r="H880" s="30">
        <v>44926</v>
      </c>
    </row>
    <row r="881" spans="1:8" x14ac:dyDescent="0.2">
      <c r="A881" s="32">
        <v>920776</v>
      </c>
      <c r="B881" s="27" t="s">
        <v>1110</v>
      </c>
      <c r="C881" s="55">
        <v>480</v>
      </c>
      <c r="D881" s="55">
        <v>216</v>
      </c>
      <c r="E881" s="28"/>
      <c r="F881" s="55"/>
      <c r="G881" s="29">
        <v>44652</v>
      </c>
      <c r="H881" s="30">
        <v>44926</v>
      </c>
    </row>
    <row r="882" spans="1:8" x14ac:dyDescent="0.2">
      <c r="A882" s="32">
        <v>920777</v>
      </c>
      <c r="B882" s="27" t="s">
        <v>1111</v>
      </c>
      <c r="C882" s="55">
        <v>480</v>
      </c>
      <c r="D882" s="55">
        <v>216</v>
      </c>
      <c r="E882" s="28"/>
      <c r="F882" s="55"/>
      <c r="G882" s="29">
        <v>44652</v>
      </c>
      <c r="H882" s="30">
        <v>44926</v>
      </c>
    </row>
    <row r="883" spans="1:8" x14ac:dyDescent="0.2">
      <c r="A883" s="32">
        <v>920783</v>
      </c>
      <c r="B883" s="27" t="s">
        <v>632</v>
      </c>
      <c r="C883" s="55">
        <v>192.5385</v>
      </c>
      <c r="D883" s="55">
        <v>86.642325</v>
      </c>
      <c r="E883" s="28" t="s">
        <v>8</v>
      </c>
      <c r="F883" s="55"/>
      <c r="G883" s="29">
        <v>44652</v>
      </c>
      <c r="H883" s="30">
        <v>44926</v>
      </c>
    </row>
    <row r="884" spans="1:8" x14ac:dyDescent="0.2">
      <c r="A884" s="32">
        <v>920784</v>
      </c>
      <c r="B884" s="27" t="s">
        <v>633</v>
      </c>
      <c r="C884" s="55">
        <v>213.33900000000003</v>
      </c>
      <c r="D884" s="55">
        <v>96.002550000000014</v>
      </c>
      <c r="E884" s="28" t="s">
        <v>8</v>
      </c>
      <c r="F884" s="55"/>
      <c r="G884" s="29">
        <v>44652</v>
      </c>
      <c r="H884" s="30">
        <v>44926</v>
      </c>
    </row>
    <row r="885" spans="1:8" x14ac:dyDescent="0.2">
      <c r="A885" s="32">
        <v>920785</v>
      </c>
      <c r="B885" s="27" t="s">
        <v>634</v>
      </c>
      <c r="C885" s="55">
        <v>213.33900000000003</v>
      </c>
      <c r="D885" s="55">
        <v>96.002550000000014</v>
      </c>
      <c r="E885" s="28" t="s">
        <v>8</v>
      </c>
      <c r="F885" s="55"/>
      <c r="G885" s="29">
        <v>44652</v>
      </c>
      <c r="H885" s="30">
        <v>44926</v>
      </c>
    </row>
    <row r="886" spans="1:8" x14ac:dyDescent="0.2">
      <c r="A886" s="32">
        <v>920786</v>
      </c>
      <c r="B886" s="27" t="s">
        <v>973</v>
      </c>
      <c r="C886" s="55">
        <v>869.14800000000002</v>
      </c>
      <c r="D886" s="55">
        <v>391.11660000000001</v>
      </c>
      <c r="E886" s="28" t="s">
        <v>8</v>
      </c>
      <c r="F886" s="55"/>
      <c r="G886" s="29">
        <v>44652</v>
      </c>
      <c r="H886" s="30">
        <v>44926</v>
      </c>
    </row>
    <row r="887" spans="1:8" x14ac:dyDescent="0.2">
      <c r="A887" s="32">
        <v>920787</v>
      </c>
      <c r="B887" s="27" t="s">
        <v>635</v>
      </c>
      <c r="C887" s="55">
        <v>7.85</v>
      </c>
      <c r="D887" s="55">
        <v>3.5324999999999998</v>
      </c>
      <c r="E887" s="28" t="s">
        <v>8</v>
      </c>
      <c r="F887" s="55"/>
      <c r="G887" s="29">
        <v>44652</v>
      </c>
      <c r="H887" s="30">
        <v>44926</v>
      </c>
    </row>
    <row r="888" spans="1:8" x14ac:dyDescent="0.2">
      <c r="A888" s="32">
        <v>920814</v>
      </c>
      <c r="B888" s="27" t="s">
        <v>1321</v>
      </c>
      <c r="C888" s="55">
        <v>33.526499999999999</v>
      </c>
      <c r="D888" s="55">
        <v>15.086924999999999</v>
      </c>
      <c r="E888" s="28" t="s">
        <v>8</v>
      </c>
      <c r="F888" s="55"/>
      <c r="G888" s="29">
        <v>44652</v>
      </c>
      <c r="H888" s="30">
        <v>44926</v>
      </c>
    </row>
    <row r="889" spans="1:8" x14ac:dyDescent="0.2">
      <c r="A889" s="32">
        <v>920815</v>
      </c>
      <c r="B889" s="27" t="s">
        <v>636</v>
      </c>
      <c r="C889" s="55">
        <v>26.25</v>
      </c>
      <c r="D889" s="55">
        <v>11.8125</v>
      </c>
      <c r="E889" s="28" t="s">
        <v>8</v>
      </c>
      <c r="F889" s="55"/>
      <c r="G889" s="29">
        <v>44652</v>
      </c>
      <c r="H889" s="30">
        <v>44926</v>
      </c>
    </row>
    <row r="890" spans="1:8" x14ac:dyDescent="0.2">
      <c r="A890" s="32">
        <v>920816</v>
      </c>
      <c r="B890" s="27" t="s">
        <v>637</v>
      </c>
      <c r="C890" s="55">
        <v>26.25</v>
      </c>
      <c r="D890" s="55">
        <v>11.8125</v>
      </c>
      <c r="E890" s="28" t="s">
        <v>8</v>
      </c>
      <c r="F890" s="55"/>
      <c r="G890" s="29">
        <v>44652</v>
      </c>
      <c r="H890" s="30">
        <v>44926</v>
      </c>
    </row>
    <row r="891" spans="1:8" x14ac:dyDescent="0.2">
      <c r="A891" s="32">
        <v>920817</v>
      </c>
      <c r="B891" s="27" t="s">
        <v>638</v>
      </c>
      <c r="C891" s="55">
        <v>26.25</v>
      </c>
      <c r="D891" s="55">
        <v>11.8125</v>
      </c>
      <c r="E891" s="28" t="s">
        <v>8</v>
      </c>
      <c r="F891" s="55"/>
      <c r="G891" s="29">
        <v>44652</v>
      </c>
      <c r="H891" s="30">
        <v>44926</v>
      </c>
    </row>
    <row r="892" spans="1:8" x14ac:dyDescent="0.2">
      <c r="A892" s="32">
        <v>920830</v>
      </c>
      <c r="B892" s="27" t="s">
        <v>639</v>
      </c>
      <c r="C892" s="55">
        <v>58.79</v>
      </c>
      <c r="D892" s="55">
        <v>26.455500000000001</v>
      </c>
      <c r="E892" s="28" t="s">
        <v>8</v>
      </c>
      <c r="F892" s="55"/>
      <c r="G892" s="29">
        <v>44652</v>
      </c>
      <c r="H892" s="30">
        <v>44926</v>
      </c>
    </row>
    <row r="893" spans="1:8" x14ac:dyDescent="0.2">
      <c r="A893" s="32">
        <v>920831</v>
      </c>
      <c r="B893" s="27" t="s">
        <v>640</v>
      </c>
      <c r="C893" s="55">
        <v>43.71</v>
      </c>
      <c r="D893" s="55">
        <v>19.669499999999999</v>
      </c>
      <c r="E893" s="28" t="s">
        <v>8</v>
      </c>
      <c r="F893" s="55"/>
      <c r="G893" s="29">
        <v>44652</v>
      </c>
      <c r="H893" s="30">
        <v>44926</v>
      </c>
    </row>
    <row r="894" spans="1:8" x14ac:dyDescent="0.2">
      <c r="A894" s="32">
        <v>920834</v>
      </c>
      <c r="B894" s="27" t="s">
        <v>1087</v>
      </c>
      <c r="C894" s="55">
        <v>37.422000000000004</v>
      </c>
      <c r="D894" s="55">
        <v>16.839900000000004</v>
      </c>
      <c r="E894" s="28" t="s">
        <v>8</v>
      </c>
      <c r="F894" s="55"/>
      <c r="G894" s="29">
        <v>44652</v>
      </c>
      <c r="H894" s="30">
        <v>44926</v>
      </c>
    </row>
    <row r="895" spans="1:8" x14ac:dyDescent="0.2">
      <c r="A895" s="32">
        <v>920835</v>
      </c>
      <c r="B895" s="27" t="s">
        <v>641</v>
      </c>
      <c r="C895" s="55">
        <v>37.422000000000004</v>
      </c>
      <c r="D895" s="55">
        <v>16.839900000000004</v>
      </c>
      <c r="E895" s="28" t="s">
        <v>8</v>
      </c>
      <c r="F895" s="55"/>
      <c r="G895" s="29">
        <v>44652</v>
      </c>
      <c r="H895" s="30">
        <v>44926</v>
      </c>
    </row>
    <row r="896" spans="1:8" x14ac:dyDescent="0.2">
      <c r="A896" s="32">
        <v>920836</v>
      </c>
      <c r="B896" s="27" t="s">
        <v>1086</v>
      </c>
      <c r="C896" s="55">
        <v>37.422000000000004</v>
      </c>
      <c r="D896" s="55">
        <v>16.839900000000004</v>
      </c>
      <c r="E896" s="28" t="s">
        <v>8</v>
      </c>
      <c r="F896" s="55"/>
      <c r="G896" s="29">
        <v>44652</v>
      </c>
      <c r="H896" s="30">
        <v>44926</v>
      </c>
    </row>
    <row r="897" spans="1:8" x14ac:dyDescent="0.2">
      <c r="A897" s="32">
        <v>920838</v>
      </c>
      <c r="B897" s="27" t="s">
        <v>1055</v>
      </c>
      <c r="C897" s="55">
        <v>64</v>
      </c>
      <c r="D897" s="55">
        <v>28.8</v>
      </c>
      <c r="E897" s="28" t="s">
        <v>8</v>
      </c>
      <c r="F897" s="55"/>
      <c r="G897" s="29">
        <v>44652</v>
      </c>
      <c r="H897" s="30">
        <v>44926</v>
      </c>
    </row>
    <row r="898" spans="1:8" x14ac:dyDescent="0.2">
      <c r="A898" s="32">
        <v>920839</v>
      </c>
      <c r="B898" s="27" t="s">
        <v>1056</v>
      </c>
      <c r="C898" s="55">
        <v>44.15</v>
      </c>
      <c r="D898" s="55">
        <v>19.8675</v>
      </c>
      <c r="E898" s="28" t="s">
        <v>8</v>
      </c>
      <c r="F898" s="55"/>
      <c r="G898" s="29">
        <v>44652</v>
      </c>
      <c r="H898" s="30">
        <v>44926</v>
      </c>
    </row>
    <row r="899" spans="1:8" x14ac:dyDescent="0.2">
      <c r="A899" s="32">
        <v>920856</v>
      </c>
      <c r="B899" s="27" t="s">
        <v>1108</v>
      </c>
      <c r="C899" s="55">
        <v>11.4</v>
      </c>
      <c r="D899" s="55">
        <v>5.13</v>
      </c>
      <c r="E899" s="28" t="s">
        <v>8</v>
      </c>
      <c r="F899" s="55"/>
      <c r="G899" s="29">
        <v>44652</v>
      </c>
      <c r="H899" s="30">
        <v>44926</v>
      </c>
    </row>
    <row r="900" spans="1:8" x14ac:dyDescent="0.2">
      <c r="A900" s="32">
        <v>920945</v>
      </c>
      <c r="B900" s="27" t="s">
        <v>642</v>
      </c>
      <c r="C900" s="55">
        <v>17.5</v>
      </c>
      <c r="D900" s="55">
        <v>7.875</v>
      </c>
      <c r="E900" s="28" t="s">
        <v>8</v>
      </c>
      <c r="F900" s="55"/>
      <c r="G900" s="29">
        <v>44652</v>
      </c>
      <c r="H900" s="30">
        <v>44926</v>
      </c>
    </row>
    <row r="901" spans="1:8" x14ac:dyDescent="0.2">
      <c r="A901" s="66">
        <v>920965</v>
      </c>
      <c r="B901" s="67" t="s">
        <v>643</v>
      </c>
      <c r="C901" s="68">
        <v>11</v>
      </c>
      <c r="D901" s="68">
        <v>4.95</v>
      </c>
      <c r="E901" s="69" t="s">
        <v>8</v>
      </c>
      <c r="F901" s="68"/>
      <c r="G901" s="70">
        <v>44652</v>
      </c>
      <c r="H901" s="71">
        <v>44926</v>
      </c>
    </row>
    <row r="902" spans="1:8" x14ac:dyDescent="0.2">
      <c r="A902" s="32">
        <v>920966</v>
      </c>
      <c r="B902" s="27" t="s">
        <v>1109</v>
      </c>
      <c r="C902" s="68">
        <v>11.9</v>
      </c>
      <c r="D902" s="68">
        <v>5.3550000000000004</v>
      </c>
      <c r="E902" s="69" t="s">
        <v>8</v>
      </c>
      <c r="F902" s="68"/>
      <c r="G902" s="70">
        <v>44652</v>
      </c>
      <c r="H902" s="71">
        <v>44926</v>
      </c>
    </row>
    <row r="903" spans="1:8" x14ac:dyDescent="0.2">
      <c r="A903" s="32">
        <v>920971</v>
      </c>
      <c r="B903" s="27" t="s">
        <v>1000</v>
      </c>
      <c r="C903" s="68">
        <v>41.83</v>
      </c>
      <c r="D903" s="68">
        <v>18.823499999999999</v>
      </c>
      <c r="E903" s="69" t="s">
        <v>8</v>
      </c>
      <c r="F903" s="68"/>
      <c r="G903" s="70">
        <v>44652</v>
      </c>
      <c r="H903" s="71">
        <v>44926</v>
      </c>
    </row>
    <row r="904" spans="1:8" x14ac:dyDescent="0.2">
      <c r="A904" s="32">
        <v>920972</v>
      </c>
      <c r="B904" s="27" t="s">
        <v>994</v>
      </c>
      <c r="C904" s="68">
        <v>182.994</v>
      </c>
      <c r="D904" s="68">
        <v>82.347300000000004</v>
      </c>
      <c r="E904" s="69" t="s">
        <v>8</v>
      </c>
      <c r="F904" s="68"/>
      <c r="G904" s="70">
        <v>44652</v>
      </c>
      <c r="H904" s="71">
        <v>44926</v>
      </c>
    </row>
    <row r="905" spans="1:8" x14ac:dyDescent="0.2">
      <c r="A905" s="32">
        <v>920973</v>
      </c>
      <c r="B905" s="27" t="s">
        <v>995</v>
      </c>
      <c r="C905" s="68">
        <v>323.21100000000001</v>
      </c>
      <c r="D905" s="68">
        <v>145.44495000000001</v>
      </c>
      <c r="E905" s="69" t="s">
        <v>8</v>
      </c>
      <c r="F905" s="68"/>
      <c r="G905" s="70">
        <v>44652</v>
      </c>
      <c r="H905" s="71">
        <v>44926</v>
      </c>
    </row>
    <row r="906" spans="1:8" x14ac:dyDescent="0.2">
      <c r="A906" s="32">
        <v>920976</v>
      </c>
      <c r="B906" s="27" t="s">
        <v>1231</v>
      </c>
      <c r="C906" s="68">
        <v>1305.1500000000001</v>
      </c>
      <c r="D906" s="68">
        <v>587.31750000000011</v>
      </c>
      <c r="E906" s="69" t="s">
        <v>8</v>
      </c>
      <c r="F906" s="68"/>
      <c r="G906" s="70">
        <v>44652</v>
      </c>
      <c r="H906" s="71">
        <v>44926</v>
      </c>
    </row>
    <row r="907" spans="1:8" x14ac:dyDescent="0.2">
      <c r="A907" s="32">
        <v>6.50207E+17</v>
      </c>
      <c r="B907" s="27" t="s">
        <v>1303</v>
      </c>
      <c r="C907" s="68">
        <v>59.346000000000004</v>
      </c>
      <c r="D907" s="68">
        <v>26.705700000000004</v>
      </c>
      <c r="E907" s="69" t="s">
        <v>8</v>
      </c>
      <c r="F907" s="68"/>
      <c r="G907" s="70">
        <v>44652</v>
      </c>
      <c r="H907" s="71">
        <v>44926</v>
      </c>
    </row>
    <row r="908" spans="1:8" x14ac:dyDescent="0.2">
      <c r="A908" s="32" t="s">
        <v>992</v>
      </c>
      <c r="B908" s="27" t="s">
        <v>993</v>
      </c>
      <c r="C908" s="68">
        <v>0.55000000000000004</v>
      </c>
      <c r="D908" s="68">
        <v>0.24750000000000003</v>
      </c>
      <c r="E908" s="69" t="s">
        <v>8</v>
      </c>
      <c r="F908" s="68"/>
      <c r="G908" s="70">
        <v>44652</v>
      </c>
      <c r="H908" s="71">
        <v>44926</v>
      </c>
    </row>
    <row r="909" spans="1:8" x14ac:dyDescent="0.2">
      <c r="A909" s="26" t="s">
        <v>644</v>
      </c>
      <c r="B909" s="27" t="s">
        <v>645</v>
      </c>
      <c r="C909" s="68">
        <v>12.85</v>
      </c>
      <c r="D909" s="68">
        <v>5.7824999999999998</v>
      </c>
      <c r="E909" s="69" t="s">
        <v>8</v>
      </c>
      <c r="F909" s="68"/>
      <c r="G909" s="70">
        <v>44652</v>
      </c>
      <c r="H909" s="71">
        <v>44926</v>
      </c>
    </row>
    <row r="910" spans="1:8" x14ac:dyDescent="0.2">
      <c r="A910" s="32" t="s">
        <v>1082</v>
      </c>
      <c r="B910" s="27" t="s">
        <v>1083</v>
      </c>
      <c r="C910" s="68">
        <v>20.5</v>
      </c>
      <c r="D910" s="68">
        <v>9.2249999999999996</v>
      </c>
      <c r="E910" s="69" t="s">
        <v>8</v>
      </c>
      <c r="F910" s="68"/>
      <c r="G910" s="70">
        <v>44652</v>
      </c>
      <c r="H910" s="71">
        <v>44926</v>
      </c>
    </row>
    <row r="911" spans="1:8" x14ac:dyDescent="0.2">
      <c r="A911" s="32" t="s">
        <v>646</v>
      </c>
      <c r="B911" s="27" t="s">
        <v>647</v>
      </c>
      <c r="C911" s="68">
        <v>0.98</v>
      </c>
      <c r="D911" s="68">
        <v>0.441</v>
      </c>
      <c r="E911" s="69" t="s">
        <v>8</v>
      </c>
      <c r="F911" s="68"/>
      <c r="G911" s="70">
        <v>44652</v>
      </c>
      <c r="H911" s="71">
        <v>44926</v>
      </c>
    </row>
    <row r="912" spans="1:8" x14ac:dyDescent="0.2">
      <c r="A912" s="32" t="s">
        <v>1278</v>
      </c>
      <c r="B912" s="27" t="s">
        <v>1279</v>
      </c>
      <c r="C912" s="68">
        <v>51</v>
      </c>
      <c r="D912" s="68">
        <v>22.95</v>
      </c>
      <c r="E912" s="69" t="s">
        <v>8</v>
      </c>
      <c r="F912" s="68"/>
      <c r="G912" s="70">
        <v>44652</v>
      </c>
      <c r="H912" s="71">
        <v>44926</v>
      </c>
    </row>
    <row r="913" spans="1:8" x14ac:dyDescent="0.2">
      <c r="A913" s="32" t="s">
        <v>1295</v>
      </c>
      <c r="B913" s="27" t="s">
        <v>1296</v>
      </c>
      <c r="C913" s="68">
        <v>82.225500000000011</v>
      </c>
      <c r="D913" s="68">
        <v>37.001475000000006</v>
      </c>
      <c r="E913" s="69" t="s">
        <v>8</v>
      </c>
      <c r="F913" s="68"/>
      <c r="G913" s="70">
        <v>44652</v>
      </c>
      <c r="H913" s="71">
        <v>44926</v>
      </c>
    </row>
    <row r="914" spans="1:8" x14ac:dyDescent="0.2">
      <c r="A914" s="32" t="s">
        <v>648</v>
      </c>
      <c r="B914" s="27" t="s">
        <v>649</v>
      </c>
      <c r="C914" s="68">
        <v>81.889499999999998</v>
      </c>
      <c r="D914" s="68">
        <v>36.850275000000003</v>
      </c>
      <c r="E914" s="69" t="s">
        <v>8</v>
      </c>
      <c r="F914" s="68"/>
      <c r="G914" s="70">
        <v>44652</v>
      </c>
      <c r="H914" s="71">
        <v>44926</v>
      </c>
    </row>
    <row r="915" spans="1:8" x14ac:dyDescent="0.2">
      <c r="A915" s="32" t="s">
        <v>650</v>
      </c>
      <c r="B915" s="27" t="s">
        <v>651</v>
      </c>
      <c r="C915" s="68">
        <v>76.188000000000002</v>
      </c>
      <c r="D915" s="68">
        <v>34.284600000000005</v>
      </c>
      <c r="E915" s="69" t="s">
        <v>8</v>
      </c>
      <c r="F915" s="68"/>
      <c r="G915" s="70">
        <v>44652</v>
      </c>
      <c r="H915" s="71">
        <v>44926</v>
      </c>
    </row>
    <row r="916" spans="1:8" x14ac:dyDescent="0.2">
      <c r="A916" s="32" t="s">
        <v>652</v>
      </c>
      <c r="B916" s="27" t="s">
        <v>653</v>
      </c>
      <c r="C916" s="68">
        <v>84</v>
      </c>
      <c r="D916" s="68">
        <v>37.800000000000004</v>
      </c>
      <c r="E916" s="69" t="s">
        <v>8</v>
      </c>
      <c r="F916" s="68"/>
      <c r="G916" s="70">
        <v>44652</v>
      </c>
      <c r="H916" s="71">
        <v>44926</v>
      </c>
    </row>
    <row r="917" spans="1:8" x14ac:dyDescent="0.2">
      <c r="A917" s="32" t="s">
        <v>654</v>
      </c>
      <c r="B917" s="27" t="s">
        <v>655</v>
      </c>
      <c r="C917" s="68">
        <v>26.953500000000002</v>
      </c>
      <c r="D917" s="68">
        <v>12.129075</v>
      </c>
      <c r="E917" s="69" t="s">
        <v>8</v>
      </c>
      <c r="F917" s="68"/>
      <c r="G917" s="70">
        <v>44652</v>
      </c>
      <c r="H917" s="71">
        <v>44926</v>
      </c>
    </row>
    <row r="918" spans="1:8" x14ac:dyDescent="0.2">
      <c r="A918" s="32" t="s">
        <v>656</v>
      </c>
      <c r="B918" s="27" t="s">
        <v>657</v>
      </c>
      <c r="C918" s="68">
        <v>78</v>
      </c>
      <c r="D918" s="68">
        <v>35.1</v>
      </c>
      <c r="E918" s="69" t="s">
        <v>8</v>
      </c>
      <c r="F918" s="68"/>
      <c r="G918" s="70">
        <v>44652</v>
      </c>
      <c r="H918" s="71">
        <v>44926</v>
      </c>
    </row>
    <row r="919" spans="1:8" x14ac:dyDescent="0.2">
      <c r="A919" s="32" t="s">
        <v>658</v>
      </c>
      <c r="B919" s="27" t="s">
        <v>659</v>
      </c>
      <c r="C919" s="68">
        <v>26.953500000000002</v>
      </c>
      <c r="D919" s="68">
        <v>12.129075</v>
      </c>
      <c r="E919" s="69" t="s">
        <v>8</v>
      </c>
      <c r="F919" s="68"/>
      <c r="G919" s="70">
        <v>44652</v>
      </c>
      <c r="H919" s="71">
        <v>44926</v>
      </c>
    </row>
    <row r="920" spans="1:8" x14ac:dyDescent="0.2">
      <c r="A920" s="32" t="s">
        <v>660</v>
      </c>
      <c r="B920" s="27" t="s">
        <v>661</v>
      </c>
      <c r="C920" s="68">
        <v>41.5</v>
      </c>
      <c r="D920" s="68">
        <v>18.675000000000001</v>
      </c>
      <c r="E920" s="69" t="s">
        <v>8</v>
      </c>
      <c r="F920" s="68"/>
      <c r="G920" s="70">
        <v>44652</v>
      </c>
      <c r="H920" s="71">
        <v>44926</v>
      </c>
    </row>
    <row r="921" spans="1:8" x14ac:dyDescent="0.2">
      <c r="A921" s="32" t="s">
        <v>662</v>
      </c>
      <c r="B921" s="27" t="s">
        <v>663</v>
      </c>
      <c r="C921" s="68">
        <v>60</v>
      </c>
      <c r="D921" s="68">
        <v>27</v>
      </c>
      <c r="E921" s="69" t="s">
        <v>8</v>
      </c>
      <c r="F921" s="68"/>
      <c r="G921" s="70">
        <v>44652</v>
      </c>
      <c r="H921" s="71">
        <v>44926</v>
      </c>
    </row>
    <row r="922" spans="1:8" x14ac:dyDescent="0.2">
      <c r="A922" s="32" t="s">
        <v>664</v>
      </c>
      <c r="B922" s="27" t="s">
        <v>665</v>
      </c>
      <c r="C922" s="68">
        <v>47.5</v>
      </c>
      <c r="D922" s="68">
        <v>21.375</v>
      </c>
      <c r="E922" s="69" t="s">
        <v>8</v>
      </c>
      <c r="F922" s="68"/>
      <c r="G922" s="70">
        <v>44652</v>
      </c>
      <c r="H922" s="71">
        <v>44926</v>
      </c>
    </row>
    <row r="923" spans="1:8" x14ac:dyDescent="0.2">
      <c r="A923" s="32" t="s">
        <v>1306</v>
      </c>
      <c r="B923" s="27" t="s">
        <v>1307</v>
      </c>
      <c r="C923" s="68">
        <v>43.847999999999999</v>
      </c>
      <c r="D923" s="68">
        <v>19.7316</v>
      </c>
      <c r="E923" s="69" t="s">
        <v>8</v>
      </c>
      <c r="F923" s="68"/>
      <c r="G923" s="70">
        <v>44652</v>
      </c>
      <c r="H923" s="71">
        <v>44926</v>
      </c>
    </row>
    <row r="924" spans="1:8" x14ac:dyDescent="0.2">
      <c r="A924" s="32" t="s">
        <v>1292</v>
      </c>
      <c r="B924" s="27" t="s">
        <v>1293</v>
      </c>
      <c r="C924" s="68">
        <v>89.785500000000013</v>
      </c>
      <c r="D924" s="68">
        <v>40.403475000000007</v>
      </c>
      <c r="E924" s="69" t="s">
        <v>8</v>
      </c>
      <c r="F924" s="68"/>
      <c r="G924" s="70">
        <v>44652</v>
      </c>
      <c r="H924" s="71">
        <v>44926</v>
      </c>
    </row>
    <row r="925" spans="1:8" x14ac:dyDescent="0.2">
      <c r="A925" s="32" t="s">
        <v>666</v>
      </c>
      <c r="B925" s="27" t="s">
        <v>667</v>
      </c>
      <c r="C925" s="68">
        <v>50.042999999999999</v>
      </c>
      <c r="D925" s="68">
        <v>22.519349999999999</v>
      </c>
      <c r="E925" s="69" t="s">
        <v>8</v>
      </c>
      <c r="F925" s="68"/>
      <c r="G925" s="70">
        <v>44652</v>
      </c>
      <c r="H925" s="71">
        <v>44926</v>
      </c>
    </row>
    <row r="926" spans="1:8" x14ac:dyDescent="0.2">
      <c r="A926" s="32" t="s">
        <v>668</v>
      </c>
      <c r="B926" s="27" t="s">
        <v>669</v>
      </c>
      <c r="C926" s="68">
        <v>52.899000000000008</v>
      </c>
      <c r="D926" s="68">
        <v>23.804550000000003</v>
      </c>
      <c r="E926" s="69" t="s">
        <v>8</v>
      </c>
      <c r="F926" s="68"/>
      <c r="G926" s="70">
        <v>44652</v>
      </c>
      <c r="H926" s="71">
        <v>44926</v>
      </c>
    </row>
    <row r="927" spans="1:8" x14ac:dyDescent="0.2">
      <c r="A927" s="32" t="s">
        <v>670</v>
      </c>
      <c r="B927" s="27" t="s">
        <v>671</v>
      </c>
      <c r="C927" s="68">
        <v>52.395000000000003</v>
      </c>
      <c r="D927" s="68">
        <v>23.577750000000002</v>
      </c>
      <c r="E927" s="69" t="s">
        <v>954</v>
      </c>
      <c r="F927" s="68">
        <v>21.927307500000001</v>
      </c>
      <c r="G927" s="70">
        <v>44652</v>
      </c>
      <c r="H927" s="71">
        <v>44926</v>
      </c>
    </row>
    <row r="928" spans="1:8" x14ac:dyDescent="0.2">
      <c r="A928" s="32" t="s">
        <v>672</v>
      </c>
      <c r="B928" s="27" t="s">
        <v>673</v>
      </c>
      <c r="C928" s="68">
        <v>52.846499999999999</v>
      </c>
      <c r="D928" s="68">
        <v>23.780925</v>
      </c>
      <c r="E928" s="69" t="s">
        <v>954</v>
      </c>
      <c r="F928" s="68">
        <v>22.11626025</v>
      </c>
      <c r="G928" s="70">
        <v>44652</v>
      </c>
      <c r="H928" s="71">
        <v>44926</v>
      </c>
    </row>
    <row r="929" spans="1:8" x14ac:dyDescent="0.2">
      <c r="A929" s="32" t="s">
        <v>674</v>
      </c>
      <c r="B929" s="27" t="s">
        <v>675</v>
      </c>
      <c r="C929" s="68">
        <v>54.264000000000003</v>
      </c>
      <c r="D929" s="68">
        <v>24.418800000000001</v>
      </c>
      <c r="E929" s="69" t="s">
        <v>954</v>
      </c>
      <c r="F929" s="68">
        <v>22.709484000000003</v>
      </c>
      <c r="G929" s="70">
        <v>44652</v>
      </c>
      <c r="H929" s="71">
        <v>44926</v>
      </c>
    </row>
    <row r="930" spans="1:8" x14ac:dyDescent="0.2">
      <c r="A930" s="32" t="s">
        <v>676</v>
      </c>
      <c r="B930" s="27" t="s">
        <v>677</v>
      </c>
      <c r="C930" s="68">
        <v>54.536999999999999</v>
      </c>
      <c r="D930" s="68">
        <v>24.541650000000001</v>
      </c>
      <c r="E930" s="69" t="s">
        <v>954</v>
      </c>
      <c r="F930" s="68">
        <v>22.8237345</v>
      </c>
      <c r="G930" s="70">
        <v>44652</v>
      </c>
      <c r="H930" s="71">
        <v>44926</v>
      </c>
    </row>
    <row r="931" spans="1:8" x14ac:dyDescent="0.2">
      <c r="A931" s="32" t="s">
        <v>678</v>
      </c>
      <c r="B931" s="27" t="s">
        <v>679</v>
      </c>
      <c r="C931" s="68">
        <v>57.046500000000002</v>
      </c>
      <c r="D931" s="68">
        <v>25.670925</v>
      </c>
      <c r="E931" s="69" t="s">
        <v>954</v>
      </c>
      <c r="F931" s="68">
        <v>23.873960250000003</v>
      </c>
      <c r="G931" s="70">
        <v>44652</v>
      </c>
      <c r="H931" s="71">
        <v>44926</v>
      </c>
    </row>
    <row r="932" spans="1:8" x14ac:dyDescent="0.2">
      <c r="A932" s="32" t="s">
        <v>680</v>
      </c>
      <c r="B932" s="27" t="s">
        <v>681</v>
      </c>
      <c r="C932" s="68">
        <v>60</v>
      </c>
      <c r="D932" s="68">
        <v>27</v>
      </c>
      <c r="E932" s="69" t="s">
        <v>8</v>
      </c>
      <c r="F932" s="68"/>
      <c r="G932" s="70">
        <v>44652</v>
      </c>
      <c r="H932" s="71">
        <v>44926</v>
      </c>
    </row>
    <row r="933" spans="1:8" x14ac:dyDescent="0.2">
      <c r="A933" s="32" t="s">
        <v>682</v>
      </c>
      <c r="B933" s="27" t="s">
        <v>683</v>
      </c>
      <c r="C933" s="68">
        <v>45.832500000000003</v>
      </c>
      <c r="D933" s="68">
        <v>20.624625000000002</v>
      </c>
      <c r="E933" s="69" t="s">
        <v>954</v>
      </c>
      <c r="F933" s="68">
        <v>19.180901250000002</v>
      </c>
      <c r="G933" s="70">
        <v>44652</v>
      </c>
      <c r="H933" s="71">
        <v>44926</v>
      </c>
    </row>
    <row r="934" spans="1:8" x14ac:dyDescent="0.2">
      <c r="A934" s="32" t="s">
        <v>684</v>
      </c>
      <c r="B934" s="27" t="s">
        <v>685</v>
      </c>
      <c r="C934" s="68">
        <v>50.610000000000007</v>
      </c>
      <c r="D934" s="68">
        <v>22.774500000000003</v>
      </c>
      <c r="E934" s="69" t="s">
        <v>8</v>
      </c>
      <c r="F934" s="68"/>
      <c r="G934" s="70">
        <v>44652</v>
      </c>
      <c r="H934" s="71">
        <v>44926</v>
      </c>
    </row>
    <row r="935" spans="1:8" x14ac:dyDescent="0.2">
      <c r="A935" s="32" t="s">
        <v>686</v>
      </c>
      <c r="B935" s="27" t="s">
        <v>687</v>
      </c>
      <c r="C935" s="68">
        <v>45.5</v>
      </c>
      <c r="D935" s="68">
        <v>20.475000000000001</v>
      </c>
      <c r="E935" s="69" t="s">
        <v>8</v>
      </c>
      <c r="F935" s="68"/>
      <c r="G935" s="70">
        <v>44652</v>
      </c>
      <c r="H935" s="71">
        <v>44926</v>
      </c>
    </row>
    <row r="936" spans="1:8" x14ac:dyDescent="0.2">
      <c r="A936" s="32" t="s">
        <v>688</v>
      </c>
      <c r="B936" s="27" t="s">
        <v>689</v>
      </c>
      <c r="C936" s="68">
        <v>58.128</v>
      </c>
      <c r="D936" s="68">
        <v>26.157600000000002</v>
      </c>
      <c r="E936" s="69" t="s">
        <v>8</v>
      </c>
      <c r="F936" s="68"/>
      <c r="G936" s="70">
        <v>44652</v>
      </c>
      <c r="H936" s="71">
        <v>44926</v>
      </c>
    </row>
    <row r="937" spans="1:8" x14ac:dyDescent="0.2">
      <c r="A937" s="32" t="s">
        <v>690</v>
      </c>
      <c r="B937" s="27" t="s">
        <v>691</v>
      </c>
      <c r="C937" s="68">
        <v>33.369</v>
      </c>
      <c r="D937" s="68">
        <v>15.01605</v>
      </c>
      <c r="E937" s="69" t="s">
        <v>954</v>
      </c>
      <c r="F937" s="68">
        <v>13.964926500000001</v>
      </c>
      <c r="G937" s="70">
        <v>44652</v>
      </c>
      <c r="H937" s="71">
        <v>44926</v>
      </c>
    </row>
    <row r="938" spans="1:8" x14ac:dyDescent="0.2">
      <c r="A938" s="32" t="s">
        <v>692</v>
      </c>
      <c r="B938" s="27" t="s">
        <v>693</v>
      </c>
      <c r="C938" s="68">
        <v>89</v>
      </c>
      <c r="D938" s="68">
        <v>40.050000000000004</v>
      </c>
      <c r="E938" s="69" t="s">
        <v>954</v>
      </c>
      <c r="F938" s="68">
        <v>37.246500000000005</v>
      </c>
      <c r="G938" s="70">
        <v>44652</v>
      </c>
      <c r="H938" s="71">
        <v>44926</v>
      </c>
    </row>
    <row r="939" spans="1:8" x14ac:dyDescent="0.2">
      <c r="A939" s="32" t="s">
        <v>694</v>
      </c>
      <c r="B939" s="27" t="s">
        <v>695</v>
      </c>
      <c r="C939" s="68">
        <v>52.164000000000001</v>
      </c>
      <c r="D939" s="68">
        <v>23.473800000000001</v>
      </c>
      <c r="E939" s="69" t="s">
        <v>954</v>
      </c>
      <c r="F939" s="68">
        <v>21.830634000000003</v>
      </c>
      <c r="G939" s="70">
        <v>44652</v>
      </c>
      <c r="H939" s="71">
        <v>44926</v>
      </c>
    </row>
    <row r="940" spans="1:8" x14ac:dyDescent="0.2">
      <c r="A940" s="32" t="s">
        <v>696</v>
      </c>
      <c r="B940" s="27" t="s">
        <v>697</v>
      </c>
      <c r="C940" s="68">
        <v>42</v>
      </c>
      <c r="D940" s="68">
        <v>18.900000000000002</v>
      </c>
      <c r="E940" s="69" t="s">
        <v>8</v>
      </c>
      <c r="F940" s="68"/>
      <c r="G940" s="70">
        <v>44652</v>
      </c>
      <c r="H940" s="71">
        <v>44926</v>
      </c>
    </row>
    <row r="941" spans="1:8" x14ac:dyDescent="0.2">
      <c r="A941" s="32" t="s">
        <v>1039</v>
      </c>
      <c r="B941" s="27" t="s">
        <v>1040</v>
      </c>
      <c r="C941" s="68">
        <v>32.361000000000004</v>
      </c>
      <c r="D941" s="68">
        <v>14.562450000000002</v>
      </c>
      <c r="E941" s="69" t="s">
        <v>8</v>
      </c>
      <c r="F941" s="68"/>
      <c r="G941" s="70">
        <v>44652</v>
      </c>
      <c r="H941" s="71">
        <v>44926</v>
      </c>
    </row>
    <row r="942" spans="1:8" x14ac:dyDescent="0.2">
      <c r="A942" s="32" t="s">
        <v>698</v>
      </c>
      <c r="B942" s="27" t="s">
        <v>699</v>
      </c>
      <c r="C942" s="68">
        <v>74</v>
      </c>
      <c r="D942" s="68">
        <v>33.300000000000004</v>
      </c>
      <c r="E942" s="69" t="s">
        <v>8</v>
      </c>
      <c r="F942" s="68"/>
      <c r="G942" s="70">
        <v>44652</v>
      </c>
      <c r="H942" s="71">
        <v>44926</v>
      </c>
    </row>
    <row r="943" spans="1:8" x14ac:dyDescent="0.2">
      <c r="A943" s="32" t="s">
        <v>700</v>
      </c>
      <c r="B943" s="27" t="s">
        <v>540</v>
      </c>
      <c r="C943" s="68">
        <v>316.76400000000001</v>
      </c>
      <c r="D943" s="68">
        <v>142.5438</v>
      </c>
      <c r="E943" s="69" t="s">
        <v>8</v>
      </c>
      <c r="F943" s="68"/>
      <c r="G943" s="70">
        <v>44652</v>
      </c>
      <c r="H943" s="71">
        <v>44926</v>
      </c>
    </row>
    <row r="944" spans="1:8" x14ac:dyDescent="0.2">
      <c r="A944" s="32" t="s">
        <v>701</v>
      </c>
      <c r="B944" s="27" t="s">
        <v>541</v>
      </c>
      <c r="C944" s="68">
        <v>316.76400000000001</v>
      </c>
      <c r="D944" s="68">
        <v>142.5438</v>
      </c>
      <c r="E944" s="69" t="s">
        <v>8</v>
      </c>
      <c r="F944" s="68"/>
      <c r="G944" s="70">
        <v>44652</v>
      </c>
      <c r="H944" s="71">
        <v>44926</v>
      </c>
    </row>
    <row r="945" spans="1:8" x14ac:dyDescent="0.2">
      <c r="A945" s="32" t="s">
        <v>1210</v>
      </c>
      <c r="B945" s="27" t="s">
        <v>1211</v>
      </c>
      <c r="C945" s="68">
        <v>480</v>
      </c>
      <c r="D945" s="68">
        <v>216</v>
      </c>
      <c r="E945" s="69" t="s">
        <v>8</v>
      </c>
      <c r="F945" s="68"/>
      <c r="G945" s="70">
        <v>44652</v>
      </c>
      <c r="H945" s="71">
        <v>44926</v>
      </c>
    </row>
    <row r="946" spans="1:8" x14ac:dyDescent="0.2">
      <c r="A946" s="32" t="s">
        <v>1212</v>
      </c>
      <c r="B946" s="27" t="s">
        <v>1213</v>
      </c>
      <c r="C946" s="68">
        <v>480</v>
      </c>
      <c r="D946" s="68">
        <v>216</v>
      </c>
      <c r="E946" s="69" t="s">
        <v>8</v>
      </c>
      <c r="F946" s="68"/>
      <c r="G946" s="70">
        <v>44652</v>
      </c>
      <c r="H946" s="71">
        <v>44926</v>
      </c>
    </row>
    <row r="947" spans="1:8" x14ac:dyDescent="0.2">
      <c r="A947" s="32" t="s">
        <v>702</v>
      </c>
      <c r="B947" s="27" t="s">
        <v>703</v>
      </c>
      <c r="C947" s="68">
        <v>4.74</v>
      </c>
      <c r="D947" s="68">
        <v>2.133</v>
      </c>
      <c r="E947" s="69" t="s">
        <v>954</v>
      </c>
      <c r="F947" s="68">
        <v>1.9836900000000002</v>
      </c>
      <c r="G947" s="70">
        <v>44652</v>
      </c>
      <c r="H947" s="71">
        <v>44926</v>
      </c>
    </row>
    <row r="948" spans="1:8" x14ac:dyDescent="0.2">
      <c r="A948" s="32" t="s">
        <v>704</v>
      </c>
      <c r="B948" s="27" t="s">
        <v>705</v>
      </c>
      <c r="C948" s="68">
        <v>2.121</v>
      </c>
      <c r="D948" s="68">
        <v>0.95445000000000002</v>
      </c>
      <c r="E948" s="69" t="s">
        <v>954</v>
      </c>
      <c r="F948" s="68">
        <v>0.88763850000000011</v>
      </c>
      <c r="G948" s="70">
        <v>44652</v>
      </c>
      <c r="H948" s="71">
        <v>44926</v>
      </c>
    </row>
    <row r="949" spans="1:8" x14ac:dyDescent="0.2">
      <c r="A949" s="32" t="s">
        <v>706</v>
      </c>
      <c r="B949" s="27" t="s">
        <v>707</v>
      </c>
      <c r="C949" s="68">
        <v>44.005499999999998</v>
      </c>
      <c r="D949" s="68">
        <v>19.802475000000001</v>
      </c>
      <c r="E949" s="69" t="s">
        <v>8</v>
      </c>
      <c r="F949" s="68"/>
      <c r="G949" s="70">
        <v>44652</v>
      </c>
      <c r="H949" s="71">
        <v>44926</v>
      </c>
    </row>
    <row r="950" spans="1:8" x14ac:dyDescent="0.2">
      <c r="A950" s="32" t="s">
        <v>708</v>
      </c>
      <c r="B950" s="27" t="s">
        <v>709</v>
      </c>
      <c r="C950" s="68">
        <v>9.7200000000000006</v>
      </c>
      <c r="D950" s="68">
        <v>4.3740000000000006</v>
      </c>
      <c r="E950" s="69" t="s">
        <v>954</v>
      </c>
      <c r="F950" s="68">
        <v>4.0678200000000011</v>
      </c>
      <c r="G950" s="70">
        <v>44652</v>
      </c>
      <c r="H950" s="71">
        <v>44926</v>
      </c>
    </row>
    <row r="951" spans="1:8" x14ac:dyDescent="0.2">
      <c r="A951" s="32" t="s">
        <v>710</v>
      </c>
      <c r="B951" s="27" t="s">
        <v>711</v>
      </c>
      <c r="C951" s="68">
        <v>121.86300000000001</v>
      </c>
      <c r="D951" s="68">
        <v>54.838350000000005</v>
      </c>
      <c r="E951" s="69" t="s">
        <v>8</v>
      </c>
      <c r="F951" s="68"/>
      <c r="G951" s="70">
        <v>44652</v>
      </c>
      <c r="H951" s="71">
        <v>44926</v>
      </c>
    </row>
    <row r="952" spans="1:8" x14ac:dyDescent="0.2">
      <c r="A952" s="32" t="s">
        <v>712</v>
      </c>
      <c r="B952" s="27" t="s">
        <v>713</v>
      </c>
      <c r="C952" s="68">
        <v>3.7275</v>
      </c>
      <c r="D952" s="68">
        <v>1.6773750000000001</v>
      </c>
      <c r="E952" s="69" t="s">
        <v>954</v>
      </c>
      <c r="F952" s="68">
        <v>1.5599587500000001</v>
      </c>
      <c r="G952" s="70">
        <v>44652</v>
      </c>
      <c r="H952" s="71">
        <v>44926</v>
      </c>
    </row>
    <row r="953" spans="1:8" x14ac:dyDescent="0.2">
      <c r="A953" s="32" t="s">
        <v>714</v>
      </c>
      <c r="B953" s="27" t="s">
        <v>715</v>
      </c>
      <c r="C953" s="68">
        <v>27</v>
      </c>
      <c r="D953" s="68">
        <v>12.15</v>
      </c>
      <c r="E953" s="69" t="s">
        <v>8</v>
      </c>
      <c r="F953" s="68"/>
      <c r="G953" s="70">
        <v>44652</v>
      </c>
      <c r="H953" s="71">
        <v>44926</v>
      </c>
    </row>
    <row r="954" spans="1:8" x14ac:dyDescent="0.2">
      <c r="A954" s="32" t="s">
        <v>716</v>
      </c>
      <c r="B954" s="27" t="s">
        <v>717</v>
      </c>
      <c r="C954" s="68">
        <v>446.5</v>
      </c>
      <c r="D954" s="68">
        <v>200.92500000000001</v>
      </c>
      <c r="E954" s="69" t="s">
        <v>8</v>
      </c>
      <c r="F954" s="68"/>
      <c r="G954" s="70">
        <v>44652</v>
      </c>
      <c r="H954" s="71">
        <v>44926</v>
      </c>
    </row>
    <row r="955" spans="1:8" x14ac:dyDescent="0.2">
      <c r="A955" s="32" t="s">
        <v>718</v>
      </c>
      <c r="B955" s="27" t="s">
        <v>717</v>
      </c>
      <c r="C955" s="68">
        <v>446.5</v>
      </c>
      <c r="D955" s="68">
        <v>200.92500000000001</v>
      </c>
      <c r="E955" s="69" t="s">
        <v>8</v>
      </c>
      <c r="F955" s="68"/>
      <c r="G955" s="70">
        <v>44652</v>
      </c>
      <c r="H955" s="71">
        <v>44926</v>
      </c>
    </row>
    <row r="956" spans="1:8" x14ac:dyDescent="0.2">
      <c r="A956" s="32" t="s">
        <v>1207</v>
      </c>
      <c r="B956" s="27" t="s">
        <v>1208</v>
      </c>
      <c r="C956" s="68">
        <v>326.83999999999997</v>
      </c>
      <c r="D956" s="68">
        <v>147.078</v>
      </c>
      <c r="E956" s="69" t="s">
        <v>8</v>
      </c>
      <c r="F956" s="68"/>
      <c r="G956" s="70">
        <v>44652</v>
      </c>
      <c r="H956" s="71">
        <v>44926</v>
      </c>
    </row>
    <row r="957" spans="1:8" x14ac:dyDescent="0.2">
      <c r="A957" s="32" t="s">
        <v>1251</v>
      </c>
      <c r="B957" s="27" t="s">
        <v>722</v>
      </c>
      <c r="C957" s="68">
        <v>350</v>
      </c>
      <c r="D957" s="68">
        <v>157.5</v>
      </c>
      <c r="E957" s="69" t="s">
        <v>8</v>
      </c>
      <c r="F957" s="68"/>
      <c r="G957" s="70">
        <v>44652</v>
      </c>
      <c r="H957" s="71">
        <v>44926</v>
      </c>
    </row>
    <row r="958" spans="1:8" x14ac:dyDescent="0.2">
      <c r="A958" s="32" t="s">
        <v>1252</v>
      </c>
      <c r="B958" s="27" t="s">
        <v>752</v>
      </c>
      <c r="C958" s="68">
        <v>392</v>
      </c>
      <c r="D958" s="68">
        <v>176.4</v>
      </c>
      <c r="E958" s="69" t="s">
        <v>8</v>
      </c>
      <c r="F958" s="68"/>
      <c r="G958" s="70">
        <v>44652</v>
      </c>
      <c r="H958" s="71">
        <v>44926</v>
      </c>
    </row>
    <row r="959" spans="1:8" x14ac:dyDescent="0.2">
      <c r="A959" s="32" t="s">
        <v>1092</v>
      </c>
      <c r="B959" s="27" t="s">
        <v>740</v>
      </c>
      <c r="C959" s="68">
        <v>207</v>
      </c>
      <c r="D959" s="68">
        <v>93.15</v>
      </c>
      <c r="E959" s="69" t="s">
        <v>8</v>
      </c>
      <c r="F959" s="68"/>
      <c r="G959" s="70">
        <v>44652</v>
      </c>
      <c r="H959" s="71">
        <v>44926</v>
      </c>
    </row>
    <row r="960" spans="1:8" x14ac:dyDescent="0.2">
      <c r="A960" s="32" t="s">
        <v>719</v>
      </c>
      <c r="B960" s="27" t="s">
        <v>720</v>
      </c>
      <c r="C960" s="68">
        <v>338.24700000000001</v>
      </c>
      <c r="D960" s="68">
        <v>152.21115</v>
      </c>
      <c r="E960" s="69" t="s">
        <v>954</v>
      </c>
      <c r="F960" s="68">
        <v>141.55636950000002</v>
      </c>
      <c r="G960" s="70">
        <v>44652</v>
      </c>
      <c r="H960" s="71">
        <v>44926</v>
      </c>
    </row>
    <row r="961" spans="1:8" x14ac:dyDescent="0.2">
      <c r="A961" s="32" t="s">
        <v>721</v>
      </c>
      <c r="B961" s="27" t="s">
        <v>722</v>
      </c>
      <c r="C961" s="68">
        <v>352.19100000000003</v>
      </c>
      <c r="D961" s="68">
        <v>158.48595000000003</v>
      </c>
      <c r="E961" s="69" t="s">
        <v>954</v>
      </c>
      <c r="F961" s="68">
        <v>147.39193350000005</v>
      </c>
      <c r="G961" s="70">
        <v>44652</v>
      </c>
      <c r="H961" s="71">
        <v>44926</v>
      </c>
    </row>
    <row r="962" spans="1:8" x14ac:dyDescent="0.2">
      <c r="A962" s="32" t="s">
        <v>723</v>
      </c>
      <c r="B962" s="27" t="s">
        <v>724</v>
      </c>
      <c r="C962" s="68">
        <v>362.86950000000002</v>
      </c>
      <c r="D962" s="68">
        <v>163.29127500000001</v>
      </c>
      <c r="E962" s="69" t="s">
        <v>954</v>
      </c>
      <c r="F962" s="68">
        <v>151.86088575000002</v>
      </c>
      <c r="G962" s="70">
        <v>44652</v>
      </c>
      <c r="H962" s="71">
        <v>44926</v>
      </c>
    </row>
    <row r="963" spans="1:8" x14ac:dyDescent="0.2">
      <c r="A963" s="32" t="s">
        <v>725</v>
      </c>
      <c r="B963" s="27" t="s">
        <v>726</v>
      </c>
      <c r="C963" s="68">
        <v>371.91</v>
      </c>
      <c r="D963" s="68">
        <v>167.35950000000003</v>
      </c>
      <c r="E963" s="69" t="s">
        <v>954</v>
      </c>
      <c r="F963" s="68">
        <v>155.64433500000004</v>
      </c>
      <c r="G963" s="70">
        <v>44652</v>
      </c>
      <c r="H963" s="71">
        <v>44926</v>
      </c>
    </row>
    <row r="964" spans="1:8" x14ac:dyDescent="0.2">
      <c r="A964" s="32" t="s">
        <v>727</v>
      </c>
      <c r="B964" s="27" t="s">
        <v>728</v>
      </c>
      <c r="C964" s="68">
        <v>385.62299999999999</v>
      </c>
      <c r="D964" s="68">
        <v>173.53035</v>
      </c>
      <c r="E964" s="69" t="s">
        <v>954</v>
      </c>
      <c r="F964" s="68">
        <v>161.38322550000001</v>
      </c>
      <c r="G964" s="70">
        <v>44652</v>
      </c>
      <c r="H964" s="71">
        <v>44926</v>
      </c>
    </row>
    <row r="965" spans="1:8" x14ac:dyDescent="0.2">
      <c r="A965" s="32" t="s">
        <v>1258</v>
      </c>
      <c r="B965" s="27" t="s">
        <v>752</v>
      </c>
      <c r="C965" s="68">
        <v>385.63349999999997</v>
      </c>
      <c r="D965" s="68">
        <v>173.53507499999998</v>
      </c>
      <c r="E965" s="69" t="s">
        <v>954</v>
      </c>
      <c r="F965" s="68">
        <v>161.38761975</v>
      </c>
      <c r="G965" s="70">
        <v>44652</v>
      </c>
      <c r="H965" s="71">
        <v>44926</v>
      </c>
    </row>
    <row r="966" spans="1:8" x14ac:dyDescent="0.2">
      <c r="A966" s="32" t="s">
        <v>729</v>
      </c>
      <c r="B966" s="27" t="s">
        <v>730</v>
      </c>
      <c r="C966" s="68">
        <v>140.95200000000003</v>
      </c>
      <c r="D966" s="68">
        <v>63.428400000000011</v>
      </c>
      <c r="E966" s="69" t="s">
        <v>954</v>
      </c>
      <c r="F966" s="68">
        <v>58.988412000000011</v>
      </c>
      <c r="G966" s="70">
        <v>44652</v>
      </c>
      <c r="H966" s="71">
        <v>44926</v>
      </c>
    </row>
    <row r="967" spans="1:8" x14ac:dyDescent="0.2">
      <c r="A967" s="32" t="s">
        <v>731</v>
      </c>
      <c r="B967" s="27" t="s">
        <v>732</v>
      </c>
      <c r="C967" s="68">
        <v>155.13750000000002</v>
      </c>
      <c r="D967" s="68">
        <v>69.811875000000015</v>
      </c>
      <c r="E967" s="69" t="s">
        <v>954</v>
      </c>
      <c r="F967" s="68">
        <v>64.925043750000015</v>
      </c>
      <c r="G967" s="70">
        <v>44652</v>
      </c>
      <c r="H967" s="71">
        <v>44926</v>
      </c>
    </row>
    <row r="968" spans="1:8" x14ac:dyDescent="0.2">
      <c r="A968" s="32" t="s">
        <v>733</v>
      </c>
      <c r="B968" s="27" t="s">
        <v>734</v>
      </c>
      <c r="C968" s="68">
        <v>154</v>
      </c>
      <c r="D968" s="68">
        <v>69.3</v>
      </c>
      <c r="E968" s="69" t="s">
        <v>954</v>
      </c>
      <c r="F968" s="68">
        <v>64.448999999999998</v>
      </c>
      <c r="G968" s="70">
        <v>44652</v>
      </c>
      <c r="H968" s="71">
        <v>44926</v>
      </c>
    </row>
    <row r="969" spans="1:8" x14ac:dyDescent="0.2">
      <c r="A969" s="32" t="s">
        <v>735</v>
      </c>
      <c r="B969" s="27" t="s">
        <v>736</v>
      </c>
      <c r="C969" s="68">
        <v>165.83700000000002</v>
      </c>
      <c r="D969" s="68">
        <v>74.626650000000012</v>
      </c>
      <c r="E969" s="69" t="s">
        <v>954</v>
      </c>
      <c r="F969" s="68">
        <v>69.40278450000001</v>
      </c>
      <c r="G969" s="70">
        <v>44652</v>
      </c>
      <c r="H969" s="71">
        <v>44926</v>
      </c>
    </row>
    <row r="970" spans="1:8" x14ac:dyDescent="0.2">
      <c r="A970" s="32" t="s">
        <v>737</v>
      </c>
      <c r="B970" s="27" t="s">
        <v>738</v>
      </c>
      <c r="C970" s="68">
        <v>150</v>
      </c>
      <c r="D970" s="68">
        <v>67.5</v>
      </c>
      <c r="E970" s="69" t="s">
        <v>954</v>
      </c>
      <c r="F970" s="68">
        <v>62.775000000000006</v>
      </c>
      <c r="G970" s="70">
        <v>44652</v>
      </c>
      <c r="H970" s="71">
        <v>44926</v>
      </c>
    </row>
    <row r="971" spans="1:8" x14ac:dyDescent="0.2">
      <c r="A971" s="32" t="s">
        <v>1101</v>
      </c>
      <c r="B971" s="27" t="s">
        <v>1102</v>
      </c>
      <c r="C971" s="68">
        <v>167</v>
      </c>
      <c r="D971" s="68">
        <v>75.150000000000006</v>
      </c>
      <c r="E971" s="69" t="s">
        <v>954</v>
      </c>
      <c r="F971" s="68">
        <v>69.889500000000012</v>
      </c>
      <c r="G971" s="70">
        <v>44652</v>
      </c>
      <c r="H971" s="71">
        <v>44926</v>
      </c>
    </row>
    <row r="972" spans="1:8" x14ac:dyDescent="0.2">
      <c r="A972" s="32" t="s">
        <v>739</v>
      </c>
      <c r="B972" s="27" t="s">
        <v>740</v>
      </c>
      <c r="C972" s="68">
        <v>160</v>
      </c>
      <c r="D972" s="68">
        <v>72</v>
      </c>
      <c r="E972" s="69" t="s">
        <v>954</v>
      </c>
      <c r="F972" s="68">
        <v>66.960000000000008</v>
      </c>
      <c r="G972" s="70">
        <v>44652</v>
      </c>
      <c r="H972" s="71">
        <v>44926</v>
      </c>
    </row>
    <row r="973" spans="1:8" x14ac:dyDescent="0.2">
      <c r="A973" s="32" t="s">
        <v>741</v>
      </c>
      <c r="B973" s="27" t="s">
        <v>742</v>
      </c>
      <c r="C973" s="68">
        <v>178.25</v>
      </c>
      <c r="D973" s="68">
        <v>80.212500000000006</v>
      </c>
      <c r="E973" s="69" t="s">
        <v>954</v>
      </c>
      <c r="F973" s="68">
        <v>74.597625000000008</v>
      </c>
      <c r="G973" s="70">
        <v>44652</v>
      </c>
      <c r="H973" s="71">
        <v>44926</v>
      </c>
    </row>
    <row r="974" spans="1:8" x14ac:dyDescent="0.2">
      <c r="A974" s="32" t="s">
        <v>1098</v>
      </c>
      <c r="B974" s="27" t="s">
        <v>1099</v>
      </c>
      <c r="C974" s="68">
        <v>167</v>
      </c>
      <c r="D974" s="68">
        <v>75.150000000000006</v>
      </c>
      <c r="E974" s="69" t="s">
        <v>8</v>
      </c>
      <c r="F974" s="68"/>
      <c r="G974" s="70">
        <v>44652</v>
      </c>
      <c r="H974" s="71">
        <v>44926</v>
      </c>
    </row>
    <row r="975" spans="1:8" x14ac:dyDescent="0.2">
      <c r="A975" s="32" t="s">
        <v>743</v>
      </c>
      <c r="B975" s="27" t="s">
        <v>744</v>
      </c>
      <c r="C975" s="68">
        <v>157</v>
      </c>
      <c r="D975" s="68">
        <v>70.650000000000006</v>
      </c>
      <c r="E975" s="69" t="s">
        <v>8</v>
      </c>
      <c r="F975" s="68"/>
      <c r="G975" s="70">
        <v>44652</v>
      </c>
      <c r="H975" s="71">
        <v>44926</v>
      </c>
    </row>
    <row r="976" spans="1:8" x14ac:dyDescent="0.2">
      <c r="A976" s="32" t="s">
        <v>745</v>
      </c>
      <c r="B976" s="27" t="s">
        <v>720</v>
      </c>
      <c r="C976" s="68">
        <v>340.24200000000002</v>
      </c>
      <c r="D976" s="68">
        <v>153.10890000000001</v>
      </c>
      <c r="E976" s="69" t="s">
        <v>954</v>
      </c>
      <c r="F976" s="68">
        <v>142.391277</v>
      </c>
      <c r="G976" s="70">
        <v>44652</v>
      </c>
      <c r="H976" s="71">
        <v>44926</v>
      </c>
    </row>
    <row r="977" spans="1:8" x14ac:dyDescent="0.2">
      <c r="A977" s="32" t="s">
        <v>746</v>
      </c>
      <c r="B977" s="27" t="s">
        <v>722</v>
      </c>
      <c r="C977" s="68">
        <v>359.64600000000002</v>
      </c>
      <c r="D977" s="68">
        <v>161.8407</v>
      </c>
      <c r="E977" s="69" t="s">
        <v>954</v>
      </c>
      <c r="F977" s="68">
        <v>150.51185100000001</v>
      </c>
      <c r="G977" s="70">
        <v>44652</v>
      </c>
      <c r="H977" s="71">
        <v>44926</v>
      </c>
    </row>
    <row r="978" spans="1:8" x14ac:dyDescent="0.2">
      <c r="A978" s="32" t="s">
        <v>747</v>
      </c>
      <c r="B978" s="27" t="s">
        <v>726</v>
      </c>
      <c r="C978" s="68">
        <v>373.6635</v>
      </c>
      <c r="D978" s="68">
        <v>168.14857499999999</v>
      </c>
      <c r="E978" s="69" t="s">
        <v>954</v>
      </c>
      <c r="F978" s="68">
        <v>156.37817475</v>
      </c>
      <c r="G978" s="70">
        <v>44652</v>
      </c>
      <c r="H978" s="71">
        <v>44926</v>
      </c>
    </row>
    <row r="979" spans="1:8" x14ac:dyDescent="0.2">
      <c r="A979" s="32" t="s">
        <v>748</v>
      </c>
      <c r="B979" s="27" t="s">
        <v>728</v>
      </c>
      <c r="C979" s="68">
        <v>388.40550000000002</v>
      </c>
      <c r="D979" s="68">
        <v>174.78247500000001</v>
      </c>
      <c r="E979" s="69" t="s">
        <v>954</v>
      </c>
      <c r="F979" s="68">
        <v>162.54770175000002</v>
      </c>
      <c r="G979" s="70">
        <v>44652</v>
      </c>
      <c r="H979" s="71">
        <v>44926</v>
      </c>
    </row>
    <row r="980" spans="1:8" x14ac:dyDescent="0.2">
      <c r="A980" s="32" t="s">
        <v>749</v>
      </c>
      <c r="B980" s="27" t="s">
        <v>750</v>
      </c>
      <c r="C980" s="68">
        <v>373.6635</v>
      </c>
      <c r="D980" s="68">
        <v>168.14857499999999</v>
      </c>
      <c r="E980" s="69" t="s">
        <v>954</v>
      </c>
      <c r="F980" s="68">
        <v>156.37817475</v>
      </c>
      <c r="G980" s="70">
        <v>44652</v>
      </c>
      <c r="H980" s="71">
        <v>44926</v>
      </c>
    </row>
    <row r="981" spans="1:8" x14ac:dyDescent="0.2">
      <c r="A981" s="32" t="s">
        <v>751</v>
      </c>
      <c r="B981" s="27" t="s">
        <v>752</v>
      </c>
      <c r="C981" s="68">
        <v>388.40550000000002</v>
      </c>
      <c r="D981" s="68">
        <v>174.78247500000001</v>
      </c>
      <c r="E981" s="69" t="s">
        <v>954</v>
      </c>
      <c r="F981" s="68">
        <v>162.54770175000002</v>
      </c>
      <c r="G981" s="70">
        <v>44652</v>
      </c>
      <c r="H981" s="71">
        <v>44926</v>
      </c>
    </row>
    <row r="982" spans="1:8" x14ac:dyDescent="0.2">
      <c r="A982" s="32" t="s">
        <v>753</v>
      </c>
      <c r="B982" s="27" t="s">
        <v>730</v>
      </c>
      <c r="C982" s="68">
        <v>142.91550000000001</v>
      </c>
      <c r="D982" s="68">
        <v>64.311975000000004</v>
      </c>
      <c r="E982" s="69" t="s">
        <v>954</v>
      </c>
      <c r="F982" s="68">
        <v>59.810136750000005</v>
      </c>
      <c r="G982" s="70">
        <v>44652</v>
      </c>
      <c r="H982" s="71">
        <v>44926</v>
      </c>
    </row>
    <row r="983" spans="1:8" x14ac:dyDescent="0.2">
      <c r="A983" s="32" t="s">
        <v>754</v>
      </c>
      <c r="B983" s="27" t="s">
        <v>732</v>
      </c>
      <c r="C983" s="68">
        <v>157.08000000000001</v>
      </c>
      <c r="D983" s="68">
        <v>70.686000000000007</v>
      </c>
      <c r="E983" s="69" t="s">
        <v>954</v>
      </c>
      <c r="F983" s="68">
        <v>65.737980000000007</v>
      </c>
      <c r="G983" s="70">
        <v>44652</v>
      </c>
      <c r="H983" s="71">
        <v>44926</v>
      </c>
    </row>
    <row r="984" spans="1:8" x14ac:dyDescent="0.2">
      <c r="A984" s="32" t="s">
        <v>755</v>
      </c>
      <c r="B984" s="27" t="s">
        <v>734</v>
      </c>
      <c r="C984" s="68">
        <v>153.6045</v>
      </c>
      <c r="D984" s="68">
        <v>69.122025000000008</v>
      </c>
      <c r="E984" s="69" t="s">
        <v>954</v>
      </c>
      <c r="F984" s="68">
        <v>64.283483250000018</v>
      </c>
      <c r="G984" s="70">
        <v>44652</v>
      </c>
      <c r="H984" s="71">
        <v>44926</v>
      </c>
    </row>
    <row r="985" spans="1:8" x14ac:dyDescent="0.2">
      <c r="A985" s="32" t="s">
        <v>756</v>
      </c>
      <c r="B985" s="27" t="s">
        <v>736</v>
      </c>
      <c r="C985" s="68">
        <v>167.8005</v>
      </c>
      <c r="D985" s="68">
        <v>75.510225000000005</v>
      </c>
      <c r="E985" s="69" t="s">
        <v>954</v>
      </c>
      <c r="F985" s="68">
        <v>70.224509250000011</v>
      </c>
      <c r="G985" s="70">
        <v>44652</v>
      </c>
      <c r="H985" s="71">
        <v>44926</v>
      </c>
    </row>
    <row r="986" spans="1:8" x14ac:dyDescent="0.2">
      <c r="A986" s="32" t="s">
        <v>757</v>
      </c>
      <c r="B986" s="27" t="s">
        <v>738</v>
      </c>
      <c r="C986" s="68">
        <v>162</v>
      </c>
      <c r="D986" s="68">
        <v>72.900000000000006</v>
      </c>
      <c r="E986" s="69" t="s">
        <v>954</v>
      </c>
      <c r="F986" s="68">
        <v>67.797000000000011</v>
      </c>
      <c r="G986" s="70">
        <v>44652</v>
      </c>
      <c r="H986" s="71">
        <v>44926</v>
      </c>
    </row>
    <row r="987" spans="1:8" x14ac:dyDescent="0.2">
      <c r="A987" s="32" t="s">
        <v>1103</v>
      </c>
      <c r="B987" s="27" t="s">
        <v>1102</v>
      </c>
      <c r="C987" s="68">
        <v>168</v>
      </c>
      <c r="D987" s="68">
        <v>75.600000000000009</v>
      </c>
      <c r="E987" s="69" t="s">
        <v>954</v>
      </c>
      <c r="F987" s="68">
        <v>70.308000000000007</v>
      </c>
      <c r="G987" s="70">
        <v>44652</v>
      </c>
      <c r="H987" s="71">
        <v>44926</v>
      </c>
    </row>
    <row r="988" spans="1:8" x14ac:dyDescent="0.2">
      <c r="A988" s="32" t="s">
        <v>758</v>
      </c>
      <c r="B988" s="27" t="s">
        <v>740</v>
      </c>
      <c r="C988" s="68">
        <v>161</v>
      </c>
      <c r="D988" s="68">
        <v>72.45</v>
      </c>
      <c r="E988" s="69" t="s">
        <v>954</v>
      </c>
      <c r="F988" s="68">
        <v>67.378500000000003</v>
      </c>
      <c r="G988" s="70">
        <v>44652</v>
      </c>
      <c r="H988" s="71">
        <v>44926</v>
      </c>
    </row>
    <row r="989" spans="1:8" x14ac:dyDescent="0.2">
      <c r="A989" s="32" t="s">
        <v>759</v>
      </c>
      <c r="B989" s="27" t="s">
        <v>742</v>
      </c>
      <c r="C989" s="68">
        <v>180</v>
      </c>
      <c r="D989" s="68">
        <v>81</v>
      </c>
      <c r="E989" s="69" t="s">
        <v>954</v>
      </c>
      <c r="F989" s="68">
        <v>75.33</v>
      </c>
      <c r="G989" s="70">
        <v>44652</v>
      </c>
      <c r="H989" s="71">
        <v>44926</v>
      </c>
    </row>
    <row r="990" spans="1:8" x14ac:dyDescent="0.2">
      <c r="A990" s="32" t="s">
        <v>1095</v>
      </c>
      <c r="B990" s="27" t="s">
        <v>1096</v>
      </c>
      <c r="C990" s="68">
        <v>173</v>
      </c>
      <c r="D990" s="68">
        <v>77.850000000000009</v>
      </c>
      <c r="E990" s="69" t="s">
        <v>8</v>
      </c>
      <c r="F990" s="68"/>
      <c r="G990" s="70">
        <v>44652</v>
      </c>
      <c r="H990" s="71">
        <v>44926</v>
      </c>
    </row>
    <row r="991" spans="1:8" x14ac:dyDescent="0.2">
      <c r="A991" s="32" t="s">
        <v>760</v>
      </c>
      <c r="B991" s="27" t="s">
        <v>761</v>
      </c>
      <c r="C991" s="68">
        <v>208</v>
      </c>
      <c r="D991" s="68">
        <v>93.600000000000009</v>
      </c>
      <c r="E991" s="69" t="s">
        <v>8</v>
      </c>
      <c r="F991" s="68"/>
      <c r="G991" s="70">
        <v>44652</v>
      </c>
      <c r="H991" s="71">
        <v>44926</v>
      </c>
    </row>
    <row r="992" spans="1:8" x14ac:dyDescent="0.2">
      <c r="A992" s="32" t="s">
        <v>762</v>
      </c>
      <c r="B992" s="27" t="s">
        <v>734</v>
      </c>
      <c r="C992" s="68">
        <v>168</v>
      </c>
      <c r="D992" s="68">
        <v>75.600000000000009</v>
      </c>
      <c r="E992" s="69" t="s">
        <v>8</v>
      </c>
      <c r="F992" s="68"/>
      <c r="G992" s="70">
        <v>44652</v>
      </c>
      <c r="H992" s="71">
        <v>44926</v>
      </c>
    </row>
    <row r="993" spans="1:8" x14ac:dyDescent="0.2">
      <c r="A993" s="32" t="s">
        <v>1093</v>
      </c>
      <c r="B993" s="27" t="s">
        <v>740</v>
      </c>
      <c r="C993" s="68">
        <v>221</v>
      </c>
      <c r="D993" s="68">
        <v>99.45</v>
      </c>
      <c r="E993" s="69" t="s">
        <v>8</v>
      </c>
      <c r="F993" s="68"/>
      <c r="G993" s="70">
        <v>44652</v>
      </c>
      <c r="H993" s="71">
        <v>44926</v>
      </c>
    </row>
    <row r="994" spans="1:8" x14ac:dyDescent="0.2">
      <c r="A994" s="32" t="s">
        <v>763</v>
      </c>
      <c r="B994" s="27" t="s">
        <v>730</v>
      </c>
      <c r="C994" s="68">
        <v>156</v>
      </c>
      <c r="D994" s="68">
        <v>70.2</v>
      </c>
      <c r="E994" s="69" t="s">
        <v>8</v>
      </c>
      <c r="F994" s="68"/>
      <c r="G994" s="70">
        <v>44652</v>
      </c>
      <c r="H994" s="71">
        <v>44926</v>
      </c>
    </row>
    <row r="995" spans="1:8" x14ac:dyDescent="0.2">
      <c r="A995" s="32" t="s">
        <v>764</v>
      </c>
      <c r="B995" s="27" t="s">
        <v>722</v>
      </c>
      <c r="C995" s="68">
        <v>406.70699999999999</v>
      </c>
      <c r="D995" s="68">
        <v>183.01814999999999</v>
      </c>
      <c r="E995" s="69" t="s">
        <v>8</v>
      </c>
      <c r="F995" s="68"/>
      <c r="G995" s="70">
        <v>44652</v>
      </c>
      <c r="H995" s="71">
        <v>44926</v>
      </c>
    </row>
    <row r="996" spans="1:8" x14ac:dyDescent="0.2">
      <c r="A996" s="32" t="s">
        <v>1257</v>
      </c>
      <c r="B996" s="27" t="s">
        <v>720</v>
      </c>
      <c r="C996" s="68">
        <v>402.06600000000003</v>
      </c>
      <c r="D996" s="68">
        <v>180.92970000000003</v>
      </c>
      <c r="E996" s="69" t="s">
        <v>8</v>
      </c>
      <c r="F996" s="68"/>
      <c r="G996" s="70">
        <v>44652</v>
      </c>
      <c r="H996" s="71">
        <v>44926</v>
      </c>
    </row>
    <row r="997" spans="1:8" x14ac:dyDescent="0.2">
      <c r="A997" s="32" t="s">
        <v>765</v>
      </c>
      <c r="B997" s="27" t="s">
        <v>722</v>
      </c>
      <c r="C997" s="68">
        <v>400</v>
      </c>
      <c r="D997" s="68">
        <v>180</v>
      </c>
      <c r="E997" s="69" t="s">
        <v>8</v>
      </c>
      <c r="F997" s="68"/>
      <c r="G997" s="70">
        <v>44652</v>
      </c>
      <c r="H997" s="71">
        <v>44926</v>
      </c>
    </row>
    <row r="998" spans="1:8" x14ac:dyDescent="0.2">
      <c r="A998" s="32" t="s">
        <v>766</v>
      </c>
      <c r="B998" s="27" t="s">
        <v>722</v>
      </c>
      <c r="C998" s="68">
        <v>409.19549999999998</v>
      </c>
      <c r="D998" s="68">
        <v>184.13797499999998</v>
      </c>
      <c r="E998" s="69" t="s">
        <v>8</v>
      </c>
      <c r="F998" s="68"/>
      <c r="G998" s="70">
        <v>44652</v>
      </c>
      <c r="H998" s="71">
        <v>44926</v>
      </c>
    </row>
    <row r="999" spans="1:8" x14ac:dyDescent="0.2">
      <c r="A999" s="32" t="s">
        <v>767</v>
      </c>
      <c r="B999" s="27" t="s">
        <v>734</v>
      </c>
      <c r="C999" s="68">
        <v>180</v>
      </c>
      <c r="D999" s="68">
        <v>81</v>
      </c>
      <c r="E999" s="69" t="s">
        <v>8</v>
      </c>
      <c r="F999" s="68"/>
      <c r="G999" s="70">
        <v>44652</v>
      </c>
      <c r="H999" s="71">
        <v>44926</v>
      </c>
    </row>
    <row r="1000" spans="1:8" x14ac:dyDescent="0.2">
      <c r="A1000" s="32" t="s">
        <v>768</v>
      </c>
      <c r="B1000" s="27" t="s">
        <v>720</v>
      </c>
      <c r="C1000" s="68">
        <v>348.43</v>
      </c>
      <c r="D1000" s="68">
        <v>156.79349999999999</v>
      </c>
      <c r="E1000" s="69" t="s">
        <v>8</v>
      </c>
      <c r="F1000" s="68"/>
      <c r="G1000" s="70">
        <v>44652</v>
      </c>
      <c r="H1000" s="71">
        <v>44926</v>
      </c>
    </row>
    <row r="1001" spans="1:8" x14ac:dyDescent="0.2">
      <c r="A1001" s="32" t="s">
        <v>769</v>
      </c>
      <c r="B1001" s="27" t="s">
        <v>722</v>
      </c>
      <c r="C1001" s="68">
        <v>365</v>
      </c>
      <c r="D1001" s="68">
        <v>164.25</v>
      </c>
      <c r="E1001" s="69" t="s">
        <v>8</v>
      </c>
      <c r="F1001" s="68"/>
      <c r="G1001" s="70">
        <v>44652</v>
      </c>
      <c r="H1001" s="71">
        <v>44926</v>
      </c>
    </row>
    <row r="1002" spans="1:8" x14ac:dyDescent="0.2">
      <c r="A1002" s="32" t="s">
        <v>1097</v>
      </c>
      <c r="B1002" s="27" t="s">
        <v>734</v>
      </c>
      <c r="C1002" s="68">
        <v>208</v>
      </c>
      <c r="D1002" s="68">
        <v>93.600000000000009</v>
      </c>
      <c r="E1002" s="69" t="s">
        <v>8</v>
      </c>
      <c r="F1002" s="68"/>
      <c r="G1002" s="70">
        <v>44652</v>
      </c>
      <c r="H1002" s="71">
        <v>44926</v>
      </c>
    </row>
    <row r="1003" spans="1:8" x14ac:dyDescent="0.2">
      <c r="A1003" s="32" t="s">
        <v>770</v>
      </c>
      <c r="B1003" s="27" t="s">
        <v>736</v>
      </c>
      <c r="C1003" s="68">
        <v>203</v>
      </c>
      <c r="D1003" s="68">
        <v>91.350000000000009</v>
      </c>
      <c r="E1003" s="69" t="s">
        <v>8</v>
      </c>
      <c r="F1003" s="68"/>
      <c r="G1003" s="70">
        <v>44652</v>
      </c>
      <c r="H1003" s="71">
        <v>44926</v>
      </c>
    </row>
    <row r="1004" spans="1:8" x14ac:dyDescent="0.2">
      <c r="A1004" s="32" t="s">
        <v>771</v>
      </c>
      <c r="B1004" s="27" t="s">
        <v>722</v>
      </c>
      <c r="C1004" s="68">
        <v>418</v>
      </c>
      <c r="D1004" s="68">
        <v>188.1</v>
      </c>
      <c r="E1004" s="69" t="s">
        <v>8</v>
      </c>
      <c r="F1004" s="68"/>
      <c r="G1004" s="70">
        <v>44652</v>
      </c>
      <c r="H1004" s="71">
        <v>44926</v>
      </c>
    </row>
    <row r="1005" spans="1:8" x14ac:dyDescent="0.2">
      <c r="A1005" s="32" t="s">
        <v>1256</v>
      </c>
      <c r="B1005" s="27" t="s">
        <v>773</v>
      </c>
      <c r="C1005" s="68">
        <v>381.01350000000002</v>
      </c>
      <c r="D1005" s="68">
        <v>171.45607500000003</v>
      </c>
      <c r="E1005" s="69" t="s">
        <v>8</v>
      </c>
      <c r="F1005" s="68"/>
      <c r="G1005" s="70">
        <v>44652</v>
      </c>
      <c r="H1005" s="71">
        <v>44926</v>
      </c>
    </row>
    <row r="1006" spans="1:8" x14ac:dyDescent="0.2">
      <c r="A1006" s="32" t="s">
        <v>1254</v>
      </c>
      <c r="B1006" s="27" t="s">
        <v>1255</v>
      </c>
      <c r="C1006" s="68">
        <v>375.00749999999999</v>
      </c>
      <c r="D1006" s="68">
        <v>168.75337500000001</v>
      </c>
      <c r="E1006" s="69" t="s">
        <v>8</v>
      </c>
      <c r="F1006" s="68"/>
      <c r="G1006" s="70">
        <v>44652</v>
      </c>
      <c r="H1006" s="71">
        <v>44926</v>
      </c>
    </row>
    <row r="1007" spans="1:8" x14ac:dyDescent="0.2">
      <c r="A1007" s="32" t="s">
        <v>772</v>
      </c>
      <c r="B1007" s="27" t="s">
        <v>773</v>
      </c>
      <c r="C1007" s="68">
        <v>380.4255</v>
      </c>
      <c r="D1007" s="68">
        <v>171.191475</v>
      </c>
      <c r="E1007" s="69" t="s">
        <v>8</v>
      </c>
      <c r="F1007" s="68"/>
      <c r="G1007" s="70">
        <v>44652</v>
      </c>
      <c r="H1007" s="71">
        <v>44926</v>
      </c>
    </row>
    <row r="1008" spans="1:8" x14ac:dyDescent="0.2">
      <c r="A1008" s="32" t="s">
        <v>1253</v>
      </c>
      <c r="B1008" s="27" t="s">
        <v>773</v>
      </c>
      <c r="C1008" s="68">
        <v>351</v>
      </c>
      <c r="D1008" s="68">
        <v>157.95000000000002</v>
      </c>
      <c r="E1008" s="69" t="s">
        <v>8</v>
      </c>
      <c r="F1008" s="68"/>
      <c r="G1008" s="70">
        <v>44652</v>
      </c>
      <c r="H1008" s="71">
        <v>44926</v>
      </c>
    </row>
    <row r="1009" spans="1:8" x14ac:dyDescent="0.2">
      <c r="A1009" s="32" t="s">
        <v>1100</v>
      </c>
      <c r="B1009" s="27" t="s">
        <v>736</v>
      </c>
      <c r="C1009" s="68">
        <v>194</v>
      </c>
      <c r="D1009" s="68">
        <v>87.3</v>
      </c>
      <c r="E1009" s="69" t="s">
        <v>8</v>
      </c>
      <c r="F1009" s="68"/>
      <c r="G1009" s="70">
        <v>44652</v>
      </c>
      <c r="H1009" s="71">
        <v>44926</v>
      </c>
    </row>
    <row r="1010" spans="1:8" x14ac:dyDescent="0.2">
      <c r="A1010" s="32" t="s">
        <v>774</v>
      </c>
      <c r="B1010" s="27" t="s">
        <v>773</v>
      </c>
      <c r="C1010" s="68">
        <v>380</v>
      </c>
      <c r="D1010" s="68">
        <v>171</v>
      </c>
      <c r="E1010" s="69" t="s">
        <v>8</v>
      </c>
      <c r="F1010" s="68"/>
      <c r="G1010" s="70">
        <v>44652</v>
      </c>
      <c r="H1010" s="71">
        <v>44926</v>
      </c>
    </row>
    <row r="1011" spans="1:8" x14ac:dyDescent="0.2">
      <c r="A1011" s="32" t="s">
        <v>775</v>
      </c>
      <c r="B1011" s="27" t="s">
        <v>776</v>
      </c>
      <c r="C1011" s="68">
        <v>278.63</v>
      </c>
      <c r="D1011" s="68">
        <v>125.3835</v>
      </c>
      <c r="E1011" s="69" t="s">
        <v>8</v>
      </c>
      <c r="F1011" s="68"/>
      <c r="G1011" s="70">
        <v>44652</v>
      </c>
      <c r="H1011" s="71">
        <v>44926</v>
      </c>
    </row>
    <row r="1012" spans="1:8" x14ac:dyDescent="0.2">
      <c r="A1012" s="32" t="s">
        <v>777</v>
      </c>
      <c r="B1012" s="27" t="s">
        <v>722</v>
      </c>
      <c r="C1012" s="68">
        <v>325</v>
      </c>
      <c r="D1012" s="68">
        <v>146.25</v>
      </c>
      <c r="E1012" s="69" t="s">
        <v>8</v>
      </c>
      <c r="F1012" s="68"/>
      <c r="G1012" s="70">
        <v>44652</v>
      </c>
      <c r="H1012" s="71">
        <v>44926</v>
      </c>
    </row>
    <row r="1013" spans="1:8" x14ac:dyDescent="0.2">
      <c r="A1013" s="32" t="s">
        <v>778</v>
      </c>
      <c r="B1013" s="27" t="s">
        <v>724</v>
      </c>
      <c r="C1013" s="68">
        <v>345.56550000000004</v>
      </c>
      <c r="D1013" s="68">
        <v>155.50447500000001</v>
      </c>
      <c r="E1013" s="69" t="s">
        <v>8</v>
      </c>
      <c r="F1013" s="68"/>
      <c r="G1013" s="70">
        <v>44652</v>
      </c>
      <c r="H1013" s="71">
        <v>44926</v>
      </c>
    </row>
    <row r="1014" spans="1:8" x14ac:dyDescent="0.2">
      <c r="A1014" s="32" t="s">
        <v>779</v>
      </c>
      <c r="B1014" s="27" t="s">
        <v>750</v>
      </c>
      <c r="C1014" s="68">
        <v>338.709</v>
      </c>
      <c r="D1014" s="68">
        <v>152.41905</v>
      </c>
      <c r="E1014" s="69" t="s">
        <v>8</v>
      </c>
      <c r="F1014" s="68"/>
      <c r="G1014" s="70">
        <v>44652</v>
      </c>
      <c r="H1014" s="71">
        <v>44926</v>
      </c>
    </row>
    <row r="1015" spans="1:8" x14ac:dyDescent="0.2">
      <c r="A1015" s="32" t="s">
        <v>780</v>
      </c>
      <c r="B1015" s="27" t="s">
        <v>734</v>
      </c>
      <c r="C1015" s="68">
        <v>165</v>
      </c>
      <c r="D1015" s="68">
        <v>74.25</v>
      </c>
      <c r="E1015" s="69" t="s">
        <v>8</v>
      </c>
      <c r="F1015" s="68"/>
      <c r="G1015" s="70">
        <v>44652</v>
      </c>
      <c r="H1015" s="71">
        <v>44926</v>
      </c>
    </row>
    <row r="1016" spans="1:8" x14ac:dyDescent="0.2">
      <c r="A1016" s="32" t="s">
        <v>781</v>
      </c>
      <c r="B1016" s="27" t="s">
        <v>736</v>
      </c>
      <c r="C1016" s="68">
        <v>175</v>
      </c>
      <c r="D1016" s="68">
        <v>78.75</v>
      </c>
      <c r="E1016" s="69" t="s">
        <v>8</v>
      </c>
      <c r="F1016" s="68"/>
      <c r="G1016" s="70">
        <v>44652</v>
      </c>
      <c r="H1016" s="71">
        <v>44926</v>
      </c>
    </row>
    <row r="1017" spans="1:8" x14ac:dyDescent="0.2">
      <c r="A1017" s="32" t="s">
        <v>1094</v>
      </c>
      <c r="B1017" s="27" t="s">
        <v>740</v>
      </c>
      <c r="C1017" s="68">
        <v>178</v>
      </c>
      <c r="D1017" s="68">
        <v>80.100000000000009</v>
      </c>
      <c r="E1017" s="69" t="s">
        <v>8</v>
      </c>
      <c r="F1017" s="68"/>
      <c r="G1017" s="70">
        <v>44652</v>
      </c>
      <c r="H1017" s="71">
        <v>44926</v>
      </c>
    </row>
    <row r="1018" spans="1:8" x14ac:dyDescent="0.2">
      <c r="A1018" s="32" t="s">
        <v>782</v>
      </c>
      <c r="B1018" s="27" t="s">
        <v>720</v>
      </c>
      <c r="C1018" s="68">
        <v>360</v>
      </c>
      <c r="D1018" s="68">
        <v>162</v>
      </c>
      <c r="E1018" s="69" t="s">
        <v>8</v>
      </c>
      <c r="F1018" s="68"/>
      <c r="G1018" s="70">
        <v>44652</v>
      </c>
      <c r="H1018" s="71">
        <v>44926</v>
      </c>
    </row>
    <row r="1019" spans="1:8" x14ac:dyDescent="0.2">
      <c r="A1019" s="32" t="s">
        <v>966</v>
      </c>
      <c r="B1019" s="27" t="s">
        <v>967</v>
      </c>
      <c r="C1019" s="68">
        <v>18.049500000000002</v>
      </c>
      <c r="D1019" s="68">
        <v>8.1222750000000019</v>
      </c>
      <c r="E1019" s="69" t="s">
        <v>954</v>
      </c>
      <c r="F1019" s="68">
        <v>7.5537157500000021</v>
      </c>
      <c r="G1019" s="70">
        <v>44652</v>
      </c>
      <c r="H1019" s="71">
        <v>44926</v>
      </c>
    </row>
    <row r="1020" spans="1:8" x14ac:dyDescent="0.2">
      <c r="A1020" s="32" t="s">
        <v>783</v>
      </c>
      <c r="B1020" s="27" t="s">
        <v>784</v>
      </c>
      <c r="C1020" s="68">
        <v>0.2205</v>
      </c>
      <c r="D1020" s="68">
        <v>9.9225000000000008E-2</v>
      </c>
      <c r="E1020" s="69" t="s">
        <v>8</v>
      </c>
      <c r="F1020" s="68"/>
      <c r="G1020" s="70">
        <v>44652</v>
      </c>
      <c r="H1020" s="71">
        <v>44926</v>
      </c>
    </row>
    <row r="1021" spans="1:8" x14ac:dyDescent="0.2">
      <c r="A1021" s="32" t="s">
        <v>1300</v>
      </c>
      <c r="B1021" s="27" t="s">
        <v>786</v>
      </c>
      <c r="C1021" s="68">
        <v>67.473000000000013</v>
      </c>
      <c r="D1021" s="68">
        <v>30.362850000000005</v>
      </c>
      <c r="E1021" s="69" t="s">
        <v>8</v>
      </c>
      <c r="F1021" s="68"/>
      <c r="G1021" s="70">
        <v>44652</v>
      </c>
      <c r="H1021" s="71">
        <v>44926</v>
      </c>
    </row>
    <row r="1022" spans="1:8" x14ac:dyDescent="0.2">
      <c r="A1022" s="32" t="s">
        <v>785</v>
      </c>
      <c r="B1022" s="27" t="s">
        <v>786</v>
      </c>
      <c r="C1022" s="68">
        <v>57.466499999999996</v>
      </c>
      <c r="D1022" s="68">
        <v>25.859925</v>
      </c>
      <c r="E1022" s="69" t="s">
        <v>8</v>
      </c>
      <c r="F1022" s="68"/>
      <c r="G1022" s="70">
        <v>44652</v>
      </c>
      <c r="H1022" s="71">
        <v>44926</v>
      </c>
    </row>
    <row r="1023" spans="1:8" x14ac:dyDescent="0.2">
      <c r="A1023" s="32" t="s">
        <v>787</v>
      </c>
      <c r="B1023" s="27" t="s">
        <v>788</v>
      </c>
      <c r="C1023" s="68">
        <v>75.883499999999998</v>
      </c>
      <c r="D1023" s="68">
        <v>34.147575000000003</v>
      </c>
      <c r="E1023" s="69" t="s">
        <v>8</v>
      </c>
      <c r="F1023" s="68"/>
      <c r="G1023" s="70">
        <v>44652</v>
      </c>
      <c r="H1023" s="71">
        <v>44926</v>
      </c>
    </row>
    <row r="1024" spans="1:8" x14ac:dyDescent="0.2">
      <c r="A1024" s="32" t="s">
        <v>789</v>
      </c>
      <c r="B1024" s="27" t="s">
        <v>788</v>
      </c>
      <c r="C1024" s="68">
        <v>87.517499999999998</v>
      </c>
      <c r="D1024" s="68">
        <v>39.382874999999999</v>
      </c>
      <c r="E1024" s="69" t="s">
        <v>8</v>
      </c>
      <c r="F1024" s="68"/>
      <c r="G1024" s="70">
        <v>44652</v>
      </c>
      <c r="H1024" s="71">
        <v>44926</v>
      </c>
    </row>
    <row r="1025" spans="1:8" x14ac:dyDescent="0.2">
      <c r="A1025" s="32" t="s">
        <v>790</v>
      </c>
      <c r="B1025" s="27" t="s">
        <v>791</v>
      </c>
      <c r="C1025" s="68">
        <v>52.825500000000005</v>
      </c>
      <c r="D1025" s="68">
        <v>23.771475000000002</v>
      </c>
      <c r="E1025" s="69" t="s">
        <v>8</v>
      </c>
      <c r="F1025" s="68"/>
      <c r="G1025" s="70">
        <v>44652</v>
      </c>
      <c r="H1025" s="71">
        <v>44926</v>
      </c>
    </row>
    <row r="1026" spans="1:8" x14ac:dyDescent="0.2">
      <c r="A1026" s="32" t="s">
        <v>1308</v>
      </c>
      <c r="B1026" s="27" t="s">
        <v>1309</v>
      </c>
      <c r="C1026" s="68">
        <v>61.960500000000003</v>
      </c>
      <c r="D1026" s="68">
        <v>27.882225000000002</v>
      </c>
      <c r="E1026" s="69" t="s">
        <v>8</v>
      </c>
      <c r="F1026" s="68"/>
      <c r="G1026" s="70">
        <v>44652</v>
      </c>
      <c r="H1026" s="71">
        <v>44926</v>
      </c>
    </row>
    <row r="1027" spans="1:8" x14ac:dyDescent="0.2">
      <c r="A1027" s="32" t="s">
        <v>1304</v>
      </c>
      <c r="B1027" s="27" t="s">
        <v>1305</v>
      </c>
      <c r="C1027" s="68">
        <v>46.850999999999999</v>
      </c>
      <c r="D1027" s="68">
        <v>21.08295</v>
      </c>
      <c r="E1027" s="69" t="s">
        <v>8</v>
      </c>
      <c r="F1027" s="68"/>
      <c r="G1027" s="70">
        <v>44652</v>
      </c>
      <c r="H1027" s="71">
        <v>44926</v>
      </c>
    </row>
    <row r="1028" spans="1:8" x14ac:dyDescent="0.2">
      <c r="A1028" s="32" t="s">
        <v>1310</v>
      </c>
      <c r="B1028" s="27" t="s">
        <v>1311</v>
      </c>
      <c r="C1028" s="68">
        <v>55.314</v>
      </c>
      <c r="D1028" s="68">
        <v>24.891300000000001</v>
      </c>
      <c r="E1028" s="69" t="s">
        <v>8</v>
      </c>
      <c r="F1028" s="68"/>
      <c r="G1028" s="70">
        <v>44652</v>
      </c>
      <c r="H1028" s="71">
        <v>44926</v>
      </c>
    </row>
    <row r="1029" spans="1:8" x14ac:dyDescent="0.2">
      <c r="A1029" s="32" t="s">
        <v>1299</v>
      </c>
      <c r="B1029" s="27" t="s">
        <v>786</v>
      </c>
      <c r="C1029" s="68">
        <v>57.886500000000005</v>
      </c>
      <c r="D1029" s="68">
        <v>26.048925000000004</v>
      </c>
      <c r="E1029" s="69" t="s">
        <v>8</v>
      </c>
      <c r="F1029" s="68"/>
      <c r="G1029" s="70">
        <v>44652</v>
      </c>
      <c r="H1029" s="71">
        <v>44926</v>
      </c>
    </row>
    <row r="1030" spans="1:8" x14ac:dyDescent="0.2">
      <c r="A1030" s="32" t="s">
        <v>1346</v>
      </c>
      <c r="B1030" s="27" t="s">
        <v>1347</v>
      </c>
      <c r="C1030" s="68">
        <v>69.625500000000002</v>
      </c>
      <c r="D1030" s="68">
        <v>31.331475000000001</v>
      </c>
      <c r="E1030" s="69" t="s">
        <v>954</v>
      </c>
      <c r="F1030" s="68">
        <v>29.138271750000001</v>
      </c>
      <c r="G1030" s="70">
        <v>44652</v>
      </c>
      <c r="H1030" s="71">
        <v>44926</v>
      </c>
    </row>
    <row r="1031" spans="1:8" x14ac:dyDescent="0.2">
      <c r="A1031" s="26" t="s">
        <v>792</v>
      </c>
      <c r="B1031" s="27" t="s">
        <v>793</v>
      </c>
      <c r="C1031" s="68">
        <v>3.1500000000000004</v>
      </c>
      <c r="D1031" s="68">
        <v>1.4175000000000002</v>
      </c>
      <c r="E1031" s="69" t="s">
        <v>8</v>
      </c>
      <c r="F1031" s="68"/>
      <c r="G1031" s="70">
        <v>44652</v>
      </c>
      <c r="H1031" s="71">
        <v>44926</v>
      </c>
    </row>
    <row r="1032" spans="1:8" x14ac:dyDescent="0.2">
      <c r="A1032" s="32" t="s">
        <v>794</v>
      </c>
      <c r="B1032" s="27" t="s">
        <v>795</v>
      </c>
      <c r="C1032" s="68">
        <v>8.0500000000000007</v>
      </c>
      <c r="D1032" s="68">
        <v>3.6225000000000005</v>
      </c>
      <c r="E1032" s="69" t="s">
        <v>8</v>
      </c>
      <c r="F1032" s="68"/>
      <c r="G1032" s="70">
        <v>44652</v>
      </c>
      <c r="H1032" s="71">
        <v>44926</v>
      </c>
    </row>
    <row r="1033" spans="1:8" x14ac:dyDescent="0.2">
      <c r="A1033" s="32" t="s">
        <v>796</v>
      </c>
      <c r="B1033" s="27" t="s">
        <v>797</v>
      </c>
      <c r="C1033" s="68">
        <v>9</v>
      </c>
      <c r="D1033" s="68">
        <v>4.05</v>
      </c>
      <c r="E1033" s="69" t="s">
        <v>8</v>
      </c>
      <c r="F1033" s="68"/>
      <c r="G1033" s="70">
        <v>44652</v>
      </c>
      <c r="H1033" s="71">
        <v>44926</v>
      </c>
    </row>
    <row r="1034" spans="1:8" x14ac:dyDescent="0.2">
      <c r="A1034" s="32" t="s">
        <v>798</v>
      </c>
      <c r="B1034" s="27" t="s">
        <v>799</v>
      </c>
      <c r="C1034" s="68">
        <v>8.11</v>
      </c>
      <c r="D1034" s="68">
        <v>3.6494999999999997</v>
      </c>
      <c r="E1034" s="69" t="s">
        <v>8</v>
      </c>
      <c r="F1034" s="68"/>
      <c r="G1034" s="70">
        <v>44652</v>
      </c>
      <c r="H1034" s="71">
        <v>44926</v>
      </c>
    </row>
    <row r="1035" spans="1:8" x14ac:dyDescent="0.2">
      <c r="A1035" s="32" t="s">
        <v>800</v>
      </c>
      <c r="B1035" s="27" t="s">
        <v>801</v>
      </c>
      <c r="C1035" s="68">
        <v>6.8</v>
      </c>
      <c r="D1035" s="68">
        <v>3.06</v>
      </c>
      <c r="E1035" s="69" t="s">
        <v>8</v>
      </c>
      <c r="F1035" s="68"/>
      <c r="G1035" s="70">
        <v>44652</v>
      </c>
      <c r="H1035" s="71">
        <v>44926</v>
      </c>
    </row>
    <row r="1036" spans="1:8" x14ac:dyDescent="0.2">
      <c r="A1036" s="32" t="s">
        <v>802</v>
      </c>
      <c r="B1036" s="27" t="s">
        <v>803</v>
      </c>
      <c r="C1036" s="68">
        <v>1.4489999999999998</v>
      </c>
      <c r="D1036" s="68">
        <v>0.65204999999999991</v>
      </c>
      <c r="E1036" s="69" t="s">
        <v>954</v>
      </c>
      <c r="F1036" s="68">
        <v>0.60640649999999996</v>
      </c>
      <c r="G1036" s="70">
        <v>44652</v>
      </c>
      <c r="H1036" s="71">
        <v>44926</v>
      </c>
    </row>
    <row r="1037" spans="1:8" x14ac:dyDescent="0.2">
      <c r="A1037" s="32" t="s">
        <v>985</v>
      </c>
      <c r="B1037" s="27" t="s">
        <v>986</v>
      </c>
      <c r="C1037" s="68">
        <v>45.969000000000001</v>
      </c>
      <c r="D1037" s="68">
        <v>20.686050000000002</v>
      </c>
      <c r="E1037" s="69" t="s">
        <v>8</v>
      </c>
      <c r="F1037" s="68"/>
      <c r="G1037" s="70">
        <v>44652</v>
      </c>
      <c r="H1037" s="71">
        <v>44926</v>
      </c>
    </row>
    <row r="1038" spans="1:8" x14ac:dyDescent="0.2">
      <c r="A1038" s="32" t="s">
        <v>984</v>
      </c>
      <c r="B1038" s="27" t="s">
        <v>978</v>
      </c>
      <c r="C1038" s="68">
        <v>289.21199999999999</v>
      </c>
      <c r="D1038" s="68">
        <v>130.1454</v>
      </c>
      <c r="E1038" s="69" t="s">
        <v>8</v>
      </c>
      <c r="F1038" s="68"/>
      <c r="G1038" s="70">
        <v>44652</v>
      </c>
      <c r="H1038" s="71">
        <v>44926</v>
      </c>
    </row>
    <row r="1039" spans="1:8" x14ac:dyDescent="0.2">
      <c r="A1039" s="32" t="s">
        <v>977</v>
      </c>
      <c r="B1039" s="27" t="s">
        <v>978</v>
      </c>
      <c r="C1039" s="68">
        <v>239.38</v>
      </c>
      <c r="D1039" s="68">
        <v>107.721</v>
      </c>
      <c r="E1039" s="69" t="s">
        <v>8</v>
      </c>
      <c r="F1039" s="68"/>
      <c r="G1039" s="70">
        <v>44652</v>
      </c>
      <c r="H1039" s="71">
        <v>44926</v>
      </c>
    </row>
    <row r="1040" spans="1:8" x14ac:dyDescent="0.2">
      <c r="A1040" s="32" t="s">
        <v>969</v>
      </c>
      <c r="B1040" s="27" t="s">
        <v>970</v>
      </c>
      <c r="C1040" s="68">
        <v>34.26</v>
      </c>
      <c r="D1040" s="68">
        <v>15.417</v>
      </c>
      <c r="E1040" s="69" t="s">
        <v>8</v>
      </c>
      <c r="F1040" s="68"/>
      <c r="G1040" s="70">
        <v>44652</v>
      </c>
      <c r="H1040" s="71">
        <v>44926</v>
      </c>
    </row>
    <row r="1041" spans="1:8" x14ac:dyDescent="0.2">
      <c r="A1041" s="32" t="s">
        <v>971</v>
      </c>
      <c r="B1041" s="27" t="s">
        <v>972</v>
      </c>
      <c r="C1041" s="68">
        <v>41.73</v>
      </c>
      <c r="D1041" s="68">
        <v>18.778499999999998</v>
      </c>
      <c r="E1041" s="69" t="s">
        <v>8</v>
      </c>
      <c r="F1041" s="68"/>
      <c r="G1041" s="70">
        <v>44652</v>
      </c>
      <c r="H1041" s="71">
        <v>44926</v>
      </c>
    </row>
    <row r="1042" spans="1:8" x14ac:dyDescent="0.2">
      <c r="A1042" s="32" t="s">
        <v>804</v>
      </c>
      <c r="B1042" s="27" t="s">
        <v>805</v>
      </c>
      <c r="C1042" s="68">
        <v>38.0625</v>
      </c>
      <c r="D1042" s="68">
        <v>17.128125000000001</v>
      </c>
      <c r="E1042" s="69" t="s">
        <v>8</v>
      </c>
      <c r="F1042" s="68"/>
      <c r="G1042" s="70">
        <v>44652</v>
      </c>
      <c r="H1042" s="71">
        <v>44926</v>
      </c>
    </row>
    <row r="1043" spans="1:8" x14ac:dyDescent="0.2">
      <c r="A1043" s="32" t="s">
        <v>806</v>
      </c>
      <c r="B1043" s="27" t="s">
        <v>807</v>
      </c>
      <c r="C1043" s="68">
        <v>37.747500000000002</v>
      </c>
      <c r="D1043" s="68">
        <v>16.986375000000002</v>
      </c>
      <c r="E1043" s="69" t="s">
        <v>8</v>
      </c>
      <c r="F1043" s="68"/>
      <c r="G1043" s="70">
        <v>44652</v>
      </c>
      <c r="H1043" s="71">
        <v>44926</v>
      </c>
    </row>
    <row r="1044" spans="1:8" x14ac:dyDescent="0.2">
      <c r="A1044" s="32" t="s">
        <v>987</v>
      </c>
      <c r="B1044" s="27" t="s">
        <v>988</v>
      </c>
      <c r="C1044" s="68">
        <v>51.313499999999998</v>
      </c>
      <c r="D1044" s="68">
        <v>23.091075</v>
      </c>
      <c r="E1044" s="69" t="s">
        <v>8</v>
      </c>
      <c r="F1044" s="68"/>
      <c r="G1044" s="70">
        <v>44652</v>
      </c>
      <c r="H1044" s="71">
        <v>44926</v>
      </c>
    </row>
    <row r="1045" spans="1:8" x14ac:dyDescent="0.2">
      <c r="A1045" s="32" t="s">
        <v>808</v>
      </c>
      <c r="B1045" s="27" t="s">
        <v>809</v>
      </c>
      <c r="C1045" s="68">
        <v>33.299999999999997</v>
      </c>
      <c r="D1045" s="68">
        <v>14.984999999999999</v>
      </c>
      <c r="E1045" s="69" t="s">
        <v>8</v>
      </c>
      <c r="F1045" s="68"/>
      <c r="G1045" s="70">
        <v>44652</v>
      </c>
      <c r="H1045" s="71">
        <v>44926</v>
      </c>
    </row>
    <row r="1046" spans="1:8" x14ac:dyDescent="0.2">
      <c r="A1046" s="32" t="s">
        <v>810</v>
      </c>
      <c r="B1046" s="27" t="s">
        <v>811</v>
      </c>
      <c r="C1046" s="68">
        <v>48.510000000000005</v>
      </c>
      <c r="D1046" s="68">
        <v>21.829500000000003</v>
      </c>
      <c r="E1046" s="69" t="s">
        <v>8</v>
      </c>
      <c r="F1046" s="68"/>
      <c r="G1046" s="70">
        <v>44652</v>
      </c>
      <c r="H1046" s="71">
        <v>44926</v>
      </c>
    </row>
    <row r="1047" spans="1:8" x14ac:dyDescent="0.2">
      <c r="A1047" s="32" t="s">
        <v>812</v>
      </c>
      <c r="B1047" s="27" t="s">
        <v>813</v>
      </c>
      <c r="C1047" s="68">
        <v>20.260000000000002</v>
      </c>
      <c r="D1047" s="68">
        <v>9.1170000000000009</v>
      </c>
      <c r="E1047" s="69" t="s">
        <v>8</v>
      </c>
      <c r="F1047" s="68"/>
      <c r="G1047" s="70">
        <v>44652</v>
      </c>
      <c r="H1047" s="71">
        <v>44926</v>
      </c>
    </row>
    <row r="1048" spans="1:8" x14ac:dyDescent="0.2">
      <c r="A1048" s="32" t="s">
        <v>814</v>
      </c>
      <c r="B1048" s="27" t="s">
        <v>813</v>
      </c>
      <c r="C1048" s="68">
        <v>46.032000000000004</v>
      </c>
      <c r="D1048" s="68">
        <v>20.714400000000001</v>
      </c>
      <c r="E1048" s="69" t="s">
        <v>8</v>
      </c>
      <c r="F1048" s="68"/>
      <c r="G1048" s="70">
        <v>44652</v>
      </c>
      <c r="H1048" s="71">
        <v>44926</v>
      </c>
    </row>
    <row r="1049" spans="1:8" x14ac:dyDescent="0.2">
      <c r="A1049" s="32" t="s">
        <v>815</v>
      </c>
      <c r="B1049" s="27" t="s">
        <v>816</v>
      </c>
      <c r="C1049" s="68">
        <v>15.120000000000001</v>
      </c>
      <c r="D1049" s="68">
        <v>6.8040000000000003</v>
      </c>
      <c r="E1049" s="69" t="s">
        <v>8</v>
      </c>
      <c r="F1049" s="68"/>
      <c r="G1049" s="70">
        <v>44652</v>
      </c>
      <c r="H1049" s="71">
        <v>44926</v>
      </c>
    </row>
    <row r="1050" spans="1:8" x14ac:dyDescent="0.2">
      <c r="A1050" s="32" t="s">
        <v>980</v>
      </c>
      <c r="B1050" s="27" t="s">
        <v>816</v>
      </c>
      <c r="C1050" s="68">
        <v>57.183</v>
      </c>
      <c r="D1050" s="68">
        <v>25.73235</v>
      </c>
      <c r="E1050" s="69" t="s">
        <v>8</v>
      </c>
      <c r="F1050" s="68"/>
      <c r="G1050" s="70">
        <v>44652</v>
      </c>
      <c r="H1050" s="71">
        <v>44926</v>
      </c>
    </row>
    <row r="1051" spans="1:8" x14ac:dyDescent="0.2">
      <c r="A1051" s="32" t="s">
        <v>817</v>
      </c>
      <c r="B1051" s="27" t="s">
        <v>818</v>
      </c>
      <c r="C1051" s="68">
        <v>14.973000000000001</v>
      </c>
      <c r="D1051" s="68">
        <v>6.7378500000000008</v>
      </c>
      <c r="E1051" s="69" t="s">
        <v>8</v>
      </c>
      <c r="F1051" s="68"/>
      <c r="G1051" s="70">
        <v>44652</v>
      </c>
      <c r="H1051" s="71">
        <v>44926</v>
      </c>
    </row>
    <row r="1052" spans="1:8" x14ac:dyDescent="0.2">
      <c r="A1052" s="32" t="s">
        <v>819</v>
      </c>
      <c r="B1052" s="27" t="s">
        <v>818</v>
      </c>
      <c r="C1052" s="68">
        <v>32.560500000000005</v>
      </c>
      <c r="D1052" s="68">
        <v>14.652225000000003</v>
      </c>
      <c r="E1052" s="69" t="s">
        <v>8</v>
      </c>
      <c r="F1052" s="68"/>
      <c r="G1052" s="70">
        <v>44652</v>
      </c>
      <c r="H1052" s="71">
        <v>44926</v>
      </c>
    </row>
    <row r="1053" spans="1:8" x14ac:dyDescent="0.2">
      <c r="A1053" s="32" t="s">
        <v>820</v>
      </c>
      <c r="B1053" s="27" t="s">
        <v>821</v>
      </c>
      <c r="C1053" s="68">
        <v>0.315</v>
      </c>
      <c r="D1053" s="68">
        <v>0.14175000000000001</v>
      </c>
      <c r="E1053" s="69" t="s">
        <v>8</v>
      </c>
      <c r="F1053" s="68"/>
      <c r="G1053" s="70">
        <v>44652</v>
      </c>
      <c r="H1053" s="71">
        <v>44926</v>
      </c>
    </row>
    <row r="1054" spans="1:8" x14ac:dyDescent="0.2">
      <c r="A1054" s="32" t="s">
        <v>822</v>
      </c>
      <c r="B1054" s="27" t="s">
        <v>823</v>
      </c>
      <c r="C1054" s="68">
        <v>2.0499999999999998</v>
      </c>
      <c r="D1054" s="68">
        <v>0.92249999999999999</v>
      </c>
      <c r="E1054" s="69" t="s">
        <v>8</v>
      </c>
      <c r="F1054" s="68"/>
      <c r="G1054" s="70">
        <v>44652</v>
      </c>
      <c r="H1054" s="71">
        <v>44926</v>
      </c>
    </row>
    <row r="1055" spans="1:8" x14ac:dyDescent="0.2">
      <c r="A1055" s="32" t="s">
        <v>996</v>
      </c>
      <c r="B1055" s="27" t="s">
        <v>997</v>
      </c>
      <c r="C1055" s="68">
        <v>94.363500000000002</v>
      </c>
      <c r="D1055" s="68">
        <v>42.463574999999999</v>
      </c>
      <c r="E1055" s="69"/>
      <c r="F1055" s="68"/>
      <c r="G1055" s="70">
        <v>44652</v>
      </c>
      <c r="H1055" s="71">
        <v>44926</v>
      </c>
    </row>
    <row r="1056" spans="1:8" x14ac:dyDescent="0.2">
      <c r="A1056" s="32" t="s">
        <v>824</v>
      </c>
      <c r="B1056" s="27" t="s">
        <v>825</v>
      </c>
      <c r="C1056" s="68">
        <v>12.78</v>
      </c>
      <c r="D1056" s="68">
        <v>5.7509999999999994</v>
      </c>
      <c r="E1056" s="69" t="s">
        <v>8</v>
      </c>
      <c r="F1056" s="68"/>
      <c r="G1056" s="70">
        <v>44652</v>
      </c>
      <c r="H1056" s="71">
        <v>44926</v>
      </c>
    </row>
    <row r="1057" spans="1:8" x14ac:dyDescent="0.2">
      <c r="A1057" s="32" t="s">
        <v>998</v>
      </c>
      <c r="B1057" s="27" t="s">
        <v>999</v>
      </c>
      <c r="C1057" s="68">
        <v>0.46200000000000002</v>
      </c>
      <c r="D1057" s="68">
        <v>0.2079</v>
      </c>
      <c r="E1057" s="69"/>
      <c r="F1057" s="68"/>
      <c r="G1057" s="70">
        <v>44652</v>
      </c>
      <c r="H1057" s="71">
        <v>44926</v>
      </c>
    </row>
    <row r="1058" spans="1:8" x14ac:dyDescent="0.2">
      <c r="A1058" s="32" t="s">
        <v>826</v>
      </c>
      <c r="B1058" s="27" t="s">
        <v>1007</v>
      </c>
      <c r="C1058" s="68">
        <v>0.13650000000000001</v>
      </c>
      <c r="D1058" s="68">
        <v>6.1425000000000007E-2</v>
      </c>
      <c r="E1058" s="69" t="s">
        <v>8</v>
      </c>
      <c r="F1058" s="68"/>
      <c r="G1058" s="70">
        <v>44652</v>
      </c>
      <c r="H1058" s="71">
        <v>44926</v>
      </c>
    </row>
    <row r="1059" spans="1:8" x14ac:dyDescent="0.2">
      <c r="A1059" s="32" t="s">
        <v>1005</v>
      </c>
      <c r="B1059" s="27" t="s">
        <v>1006</v>
      </c>
      <c r="C1059" s="68">
        <v>0.35700000000000004</v>
      </c>
      <c r="D1059" s="68">
        <v>0.16065000000000002</v>
      </c>
      <c r="E1059" s="69" t="s">
        <v>8</v>
      </c>
      <c r="F1059" s="68"/>
      <c r="G1059" s="70">
        <v>44652</v>
      </c>
      <c r="H1059" s="71">
        <v>44926</v>
      </c>
    </row>
    <row r="1060" spans="1:8" x14ac:dyDescent="0.2">
      <c r="A1060" s="32" t="s">
        <v>1178</v>
      </c>
      <c r="B1060" s="27" t="s">
        <v>1179</v>
      </c>
      <c r="C1060" s="68">
        <v>475.923</v>
      </c>
      <c r="D1060" s="68">
        <v>214.16535000000002</v>
      </c>
      <c r="E1060" s="69" t="s">
        <v>8</v>
      </c>
      <c r="F1060" s="68"/>
      <c r="G1060" s="70">
        <v>44652</v>
      </c>
      <c r="H1060" s="71">
        <v>44926</v>
      </c>
    </row>
    <row r="1061" spans="1:8" x14ac:dyDescent="0.2">
      <c r="A1061" s="32" t="s">
        <v>827</v>
      </c>
      <c r="B1061" s="27" t="s">
        <v>828</v>
      </c>
      <c r="C1061" s="68">
        <v>359.97149999999999</v>
      </c>
      <c r="D1061" s="68">
        <v>161.98717500000001</v>
      </c>
      <c r="E1061" s="69" t="s">
        <v>8</v>
      </c>
      <c r="F1061" s="68"/>
      <c r="G1061" s="70">
        <v>44652</v>
      </c>
      <c r="H1061" s="71">
        <v>44926</v>
      </c>
    </row>
    <row r="1062" spans="1:8" x14ac:dyDescent="0.2">
      <c r="A1062" s="32" t="s">
        <v>1188</v>
      </c>
      <c r="B1062" s="27" t="s">
        <v>1189</v>
      </c>
      <c r="C1062" s="68">
        <v>419.4855</v>
      </c>
      <c r="D1062" s="68">
        <v>188.768475</v>
      </c>
      <c r="E1062" s="69" t="s">
        <v>8</v>
      </c>
      <c r="F1062" s="68"/>
      <c r="G1062" s="70">
        <v>44652</v>
      </c>
      <c r="H1062" s="71">
        <v>44926</v>
      </c>
    </row>
    <row r="1063" spans="1:8" x14ac:dyDescent="0.2">
      <c r="A1063" s="32" t="s">
        <v>1169</v>
      </c>
      <c r="B1063" s="27" t="s">
        <v>1170</v>
      </c>
      <c r="C1063" s="68">
        <v>340.29449999999997</v>
      </c>
      <c r="D1063" s="68">
        <v>153.13252499999999</v>
      </c>
      <c r="E1063" s="69" t="s">
        <v>8</v>
      </c>
      <c r="F1063" s="68"/>
      <c r="G1063" s="70">
        <v>44652</v>
      </c>
      <c r="H1063" s="71">
        <v>44926</v>
      </c>
    </row>
    <row r="1064" spans="1:8" x14ac:dyDescent="0.2">
      <c r="A1064" s="32" t="s">
        <v>829</v>
      </c>
      <c r="B1064" s="27" t="s">
        <v>830</v>
      </c>
      <c r="C1064" s="68">
        <v>131.90100000000001</v>
      </c>
      <c r="D1064" s="68">
        <v>59.355450000000005</v>
      </c>
      <c r="E1064" s="69" t="s">
        <v>8</v>
      </c>
      <c r="F1064" s="68"/>
      <c r="G1064" s="70">
        <v>44652</v>
      </c>
      <c r="H1064" s="71">
        <v>44926</v>
      </c>
    </row>
    <row r="1065" spans="1:8" x14ac:dyDescent="0.2">
      <c r="A1065" s="32" t="s">
        <v>831</v>
      </c>
      <c r="B1065" s="27" t="s">
        <v>832</v>
      </c>
      <c r="C1065" s="68">
        <v>409.3845</v>
      </c>
      <c r="D1065" s="68">
        <v>184.22302500000001</v>
      </c>
      <c r="E1065" s="69" t="s">
        <v>8</v>
      </c>
      <c r="F1065" s="68"/>
      <c r="G1065" s="70">
        <v>44652</v>
      </c>
      <c r="H1065" s="71">
        <v>44926</v>
      </c>
    </row>
    <row r="1066" spans="1:8" x14ac:dyDescent="0.2">
      <c r="A1066" s="32" t="s">
        <v>833</v>
      </c>
      <c r="B1066" s="27" t="s">
        <v>832</v>
      </c>
      <c r="C1066" s="68">
        <v>364.39200000000005</v>
      </c>
      <c r="D1066" s="68">
        <v>163.97640000000004</v>
      </c>
      <c r="E1066" s="69" t="s">
        <v>8</v>
      </c>
      <c r="F1066" s="68"/>
      <c r="G1066" s="70">
        <v>44652</v>
      </c>
      <c r="H1066" s="71">
        <v>44926</v>
      </c>
    </row>
    <row r="1067" spans="1:8" x14ac:dyDescent="0.2">
      <c r="A1067" s="32" t="s">
        <v>834</v>
      </c>
      <c r="B1067" s="27" t="s">
        <v>835</v>
      </c>
      <c r="C1067" s="68">
        <v>463.21800000000002</v>
      </c>
      <c r="D1067" s="68">
        <v>208.44810000000001</v>
      </c>
      <c r="E1067" s="69" t="s">
        <v>8</v>
      </c>
      <c r="F1067" s="68"/>
      <c r="G1067" s="70">
        <v>44652</v>
      </c>
      <c r="H1067" s="71">
        <v>44926</v>
      </c>
    </row>
    <row r="1068" spans="1:8" x14ac:dyDescent="0.2">
      <c r="A1068" s="32" t="s">
        <v>836</v>
      </c>
      <c r="B1068" s="27" t="s">
        <v>837</v>
      </c>
      <c r="C1068" s="68">
        <v>456.96</v>
      </c>
      <c r="D1068" s="68">
        <v>205.63200000000001</v>
      </c>
      <c r="E1068" s="69" t="s">
        <v>8</v>
      </c>
      <c r="F1068" s="68"/>
      <c r="G1068" s="70">
        <v>44652</v>
      </c>
      <c r="H1068" s="71">
        <v>44926</v>
      </c>
    </row>
    <row r="1069" spans="1:8" x14ac:dyDescent="0.2">
      <c r="A1069" s="32" t="s">
        <v>1071</v>
      </c>
      <c r="B1069" s="27" t="s">
        <v>1072</v>
      </c>
      <c r="C1069" s="68">
        <v>637.94850000000008</v>
      </c>
      <c r="D1069" s="68">
        <v>287.07682500000004</v>
      </c>
      <c r="E1069" s="69" t="s">
        <v>8</v>
      </c>
      <c r="F1069" s="68"/>
      <c r="G1069" s="70">
        <v>44652</v>
      </c>
      <c r="H1069" s="71">
        <v>44926</v>
      </c>
    </row>
    <row r="1070" spans="1:8" x14ac:dyDescent="0.2">
      <c r="A1070" s="32" t="s">
        <v>838</v>
      </c>
      <c r="B1070" s="27" t="s">
        <v>839</v>
      </c>
      <c r="C1070" s="68">
        <v>141.75</v>
      </c>
      <c r="D1070" s="68">
        <v>63.787500000000001</v>
      </c>
      <c r="E1070" s="69" t="s">
        <v>8</v>
      </c>
      <c r="F1070" s="68"/>
      <c r="G1070" s="70">
        <v>44652</v>
      </c>
      <c r="H1070" s="71">
        <v>44926</v>
      </c>
    </row>
    <row r="1071" spans="1:8" x14ac:dyDescent="0.2">
      <c r="A1071" s="32" t="s">
        <v>1186</v>
      </c>
      <c r="B1071" s="27" t="s">
        <v>835</v>
      </c>
      <c r="C1071" s="68">
        <v>419.30700000000002</v>
      </c>
      <c r="D1071" s="68">
        <v>188.68815000000001</v>
      </c>
      <c r="E1071" s="69" t="s">
        <v>8</v>
      </c>
      <c r="F1071" s="68"/>
      <c r="G1071" s="70">
        <v>44652</v>
      </c>
      <c r="H1071" s="71">
        <v>44926</v>
      </c>
    </row>
    <row r="1072" spans="1:8" x14ac:dyDescent="0.2">
      <c r="A1072" s="32" t="s">
        <v>1172</v>
      </c>
      <c r="B1072" s="27" t="s">
        <v>857</v>
      </c>
      <c r="C1072" s="68">
        <v>506.80350000000004</v>
      </c>
      <c r="D1072" s="68">
        <v>228.06157500000003</v>
      </c>
      <c r="E1072" s="69" t="s">
        <v>8</v>
      </c>
      <c r="F1072" s="68"/>
      <c r="G1072" s="70">
        <v>44652</v>
      </c>
      <c r="H1072" s="71">
        <v>44926</v>
      </c>
    </row>
    <row r="1073" spans="1:8" x14ac:dyDescent="0.2">
      <c r="A1073" s="32" t="s">
        <v>1180</v>
      </c>
      <c r="B1073" s="27" t="s">
        <v>1181</v>
      </c>
      <c r="C1073" s="68">
        <v>293.69549999999998</v>
      </c>
      <c r="D1073" s="68">
        <v>132.16297499999999</v>
      </c>
      <c r="E1073" s="69" t="s">
        <v>8</v>
      </c>
      <c r="F1073" s="68"/>
      <c r="G1073" s="70">
        <v>44652</v>
      </c>
      <c r="H1073" s="71">
        <v>44926</v>
      </c>
    </row>
    <row r="1074" spans="1:8" x14ac:dyDescent="0.2">
      <c r="A1074" s="32" t="s">
        <v>1123</v>
      </c>
      <c r="B1074" s="27" t="s">
        <v>1120</v>
      </c>
      <c r="C1074" s="68">
        <v>609.91999999999996</v>
      </c>
      <c r="D1074" s="68">
        <v>274.464</v>
      </c>
      <c r="E1074" s="69" t="s">
        <v>8</v>
      </c>
      <c r="F1074" s="68"/>
      <c r="G1074" s="70">
        <v>44652</v>
      </c>
      <c r="H1074" s="71">
        <v>44926</v>
      </c>
    </row>
    <row r="1075" spans="1:8" x14ac:dyDescent="0.2">
      <c r="A1075" s="32" t="s">
        <v>1196</v>
      </c>
      <c r="B1075" s="27" t="s">
        <v>1197</v>
      </c>
      <c r="C1075" s="68">
        <v>412.54500000000002</v>
      </c>
      <c r="D1075" s="68">
        <v>185.64525</v>
      </c>
      <c r="E1075" s="69" t="s">
        <v>8</v>
      </c>
      <c r="F1075" s="68"/>
      <c r="G1075" s="70">
        <v>44652</v>
      </c>
      <c r="H1075" s="71">
        <v>44926</v>
      </c>
    </row>
    <row r="1076" spans="1:8" x14ac:dyDescent="0.2">
      <c r="A1076" s="32" t="s">
        <v>840</v>
      </c>
      <c r="B1076" s="27" t="s">
        <v>835</v>
      </c>
      <c r="C1076" s="68">
        <v>546.9135</v>
      </c>
      <c r="D1076" s="68">
        <v>246.111075</v>
      </c>
      <c r="E1076" s="69" t="s">
        <v>8</v>
      </c>
      <c r="F1076" s="68"/>
      <c r="G1076" s="70">
        <v>44652</v>
      </c>
      <c r="H1076" s="71">
        <v>44926</v>
      </c>
    </row>
    <row r="1077" spans="1:8" x14ac:dyDescent="0.2">
      <c r="A1077" s="32" t="s">
        <v>841</v>
      </c>
      <c r="B1077" s="27" t="s">
        <v>837</v>
      </c>
      <c r="C1077" s="68">
        <v>613.67250000000013</v>
      </c>
      <c r="D1077" s="68">
        <v>276.15262500000006</v>
      </c>
      <c r="E1077" s="69" t="s">
        <v>8</v>
      </c>
      <c r="F1077" s="68"/>
      <c r="G1077" s="70">
        <v>44652</v>
      </c>
      <c r="H1077" s="71">
        <v>44926</v>
      </c>
    </row>
    <row r="1078" spans="1:8" x14ac:dyDescent="0.2">
      <c r="A1078" s="32" t="s">
        <v>1119</v>
      </c>
      <c r="B1078" s="27" t="s">
        <v>1120</v>
      </c>
      <c r="C1078" s="68">
        <v>651.37</v>
      </c>
      <c r="D1078" s="68">
        <v>293.11650000000003</v>
      </c>
      <c r="E1078" s="69" t="s">
        <v>8</v>
      </c>
      <c r="F1078" s="68"/>
      <c r="G1078" s="70">
        <v>44652</v>
      </c>
      <c r="H1078" s="71">
        <v>44926</v>
      </c>
    </row>
    <row r="1079" spans="1:8" x14ac:dyDescent="0.2">
      <c r="A1079" s="32" t="s">
        <v>1192</v>
      </c>
      <c r="B1079" s="27" t="s">
        <v>835</v>
      </c>
      <c r="C1079" s="68">
        <v>321.69900000000001</v>
      </c>
      <c r="D1079" s="68">
        <v>144.76455000000001</v>
      </c>
      <c r="E1079" s="69" t="s">
        <v>8</v>
      </c>
      <c r="F1079" s="68"/>
      <c r="G1079" s="70">
        <v>44652</v>
      </c>
      <c r="H1079" s="71">
        <v>44926</v>
      </c>
    </row>
    <row r="1080" spans="1:8" x14ac:dyDescent="0.2">
      <c r="A1080" s="32" t="s">
        <v>1182</v>
      </c>
      <c r="B1080" s="27" t="s">
        <v>1183</v>
      </c>
      <c r="C1080" s="68">
        <v>475.923</v>
      </c>
      <c r="D1080" s="68">
        <v>214.16535000000002</v>
      </c>
      <c r="E1080" s="69" t="s">
        <v>8</v>
      </c>
      <c r="F1080" s="68"/>
      <c r="G1080" s="70">
        <v>44652</v>
      </c>
      <c r="H1080" s="71">
        <v>44926</v>
      </c>
    </row>
    <row r="1081" spans="1:8" x14ac:dyDescent="0.2">
      <c r="A1081" s="32" t="s">
        <v>842</v>
      </c>
      <c r="B1081" s="27" t="s">
        <v>843</v>
      </c>
      <c r="C1081" s="68">
        <v>359.97149999999999</v>
      </c>
      <c r="D1081" s="68">
        <v>161.98717500000001</v>
      </c>
      <c r="E1081" s="69" t="s">
        <v>8</v>
      </c>
      <c r="F1081" s="68"/>
      <c r="G1081" s="70">
        <v>44652</v>
      </c>
      <c r="H1081" s="71">
        <v>44926</v>
      </c>
    </row>
    <row r="1082" spans="1:8" x14ac:dyDescent="0.2">
      <c r="A1082" s="32" t="s">
        <v>1190</v>
      </c>
      <c r="B1082" s="27" t="s">
        <v>1191</v>
      </c>
      <c r="C1082" s="68">
        <v>419.4855</v>
      </c>
      <c r="D1082" s="68">
        <v>188.768475</v>
      </c>
      <c r="E1082" s="69" t="s">
        <v>8</v>
      </c>
      <c r="F1082" s="68"/>
      <c r="G1082" s="70">
        <v>44652</v>
      </c>
      <c r="H1082" s="71">
        <v>44926</v>
      </c>
    </row>
    <row r="1083" spans="1:8" x14ac:dyDescent="0.2">
      <c r="A1083" s="32" t="s">
        <v>1171</v>
      </c>
      <c r="B1083" s="27" t="s">
        <v>1149</v>
      </c>
      <c r="C1083" s="68">
        <v>336.65100000000001</v>
      </c>
      <c r="D1083" s="68">
        <v>151.49295000000001</v>
      </c>
      <c r="E1083" s="69" t="s">
        <v>8</v>
      </c>
      <c r="F1083" s="68"/>
      <c r="G1083" s="70">
        <v>44652</v>
      </c>
      <c r="H1083" s="71">
        <v>44926</v>
      </c>
    </row>
    <row r="1084" spans="1:8" x14ac:dyDescent="0.2">
      <c r="A1084" s="32" t="s">
        <v>844</v>
      </c>
      <c r="B1084" s="27" t="s">
        <v>845</v>
      </c>
      <c r="C1084" s="68">
        <v>131.90100000000001</v>
      </c>
      <c r="D1084" s="68">
        <v>59.355450000000005</v>
      </c>
      <c r="E1084" s="69" t="s">
        <v>8</v>
      </c>
      <c r="F1084" s="68"/>
      <c r="G1084" s="70">
        <v>44652</v>
      </c>
      <c r="H1084" s="71">
        <v>44926</v>
      </c>
    </row>
    <row r="1085" spans="1:8" x14ac:dyDescent="0.2">
      <c r="A1085" s="32" t="s">
        <v>846</v>
      </c>
      <c r="B1085" s="27" t="s">
        <v>832</v>
      </c>
      <c r="C1085" s="68">
        <v>409.3845</v>
      </c>
      <c r="D1085" s="68">
        <v>184.22302500000001</v>
      </c>
      <c r="E1085" s="69" t="s">
        <v>8</v>
      </c>
      <c r="F1085" s="68"/>
      <c r="G1085" s="70">
        <v>44652</v>
      </c>
      <c r="H1085" s="71">
        <v>44926</v>
      </c>
    </row>
    <row r="1086" spans="1:8" x14ac:dyDescent="0.2">
      <c r="A1086" s="32" t="s">
        <v>1114</v>
      </c>
      <c r="B1086" s="27" t="s">
        <v>853</v>
      </c>
      <c r="C1086" s="68">
        <v>170.12100000000001</v>
      </c>
      <c r="D1086" s="68">
        <v>76.554450000000003</v>
      </c>
      <c r="E1086" s="69"/>
      <c r="F1086" s="68"/>
      <c r="G1086" s="70">
        <v>44652</v>
      </c>
      <c r="H1086" s="71">
        <v>44926</v>
      </c>
    </row>
    <row r="1087" spans="1:8" x14ac:dyDescent="0.2">
      <c r="A1087" s="32" t="s">
        <v>847</v>
      </c>
      <c r="B1087" s="27" t="s">
        <v>832</v>
      </c>
      <c r="C1087" s="68">
        <v>364.39200000000005</v>
      </c>
      <c r="D1087" s="68">
        <v>163.97640000000004</v>
      </c>
      <c r="E1087" s="69" t="s">
        <v>8</v>
      </c>
      <c r="F1087" s="68"/>
      <c r="G1087" s="70">
        <v>44652</v>
      </c>
      <c r="H1087" s="71">
        <v>44926</v>
      </c>
    </row>
    <row r="1088" spans="1:8" x14ac:dyDescent="0.2">
      <c r="A1088" s="32" t="s">
        <v>848</v>
      </c>
      <c r="B1088" s="27" t="s">
        <v>849</v>
      </c>
      <c r="C1088" s="68">
        <v>463.21800000000002</v>
      </c>
      <c r="D1088" s="68">
        <v>208.44810000000001</v>
      </c>
      <c r="E1088" s="69" t="s">
        <v>8</v>
      </c>
      <c r="F1088" s="68"/>
      <c r="G1088" s="70">
        <v>44652</v>
      </c>
      <c r="H1088" s="71">
        <v>44926</v>
      </c>
    </row>
    <row r="1089" spans="1:8" x14ac:dyDescent="0.2">
      <c r="A1089" s="32" t="s">
        <v>850</v>
      </c>
      <c r="B1089" s="27" t="s">
        <v>851</v>
      </c>
      <c r="C1089" s="68">
        <v>456.64499999999998</v>
      </c>
      <c r="D1089" s="68">
        <v>205.49025</v>
      </c>
      <c r="E1089" s="69" t="s">
        <v>8</v>
      </c>
      <c r="F1089" s="68"/>
      <c r="G1089" s="70">
        <v>44652</v>
      </c>
      <c r="H1089" s="71">
        <v>44926</v>
      </c>
    </row>
    <row r="1090" spans="1:8" x14ac:dyDescent="0.2">
      <c r="A1090" s="32" t="s">
        <v>1176</v>
      </c>
      <c r="B1090" s="27" t="s">
        <v>1177</v>
      </c>
      <c r="C1090" s="68">
        <v>624.67649999999992</v>
      </c>
      <c r="D1090" s="68">
        <v>281.10442499999999</v>
      </c>
      <c r="E1090" s="69" t="s">
        <v>8</v>
      </c>
      <c r="F1090" s="68"/>
      <c r="G1090" s="70">
        <v>44652</v>
      </c>
      <c r="H1090" s="71">
        <v>44926</v>
      </c>
    </row>
    <row r="1091" spans="1:8" x14ac:dyDescent="0.2">
      <c r="A1091" s="32" t="s">
        <v>852</v>
      </c>
      <c r="B1091" s="27" t="s">
        <v>853</v>
      </c>
      <c r="C1091" s="68">
        <v>141.75</v>
      </c>
      <c r="D1091" s="68">
        <v>63.787500000000001</v>
      </c>
      <c r="E1091" s="69" t="s">
        <v>8</v>
      </c>
      <c r="F1091" s="68"/>
      <c r="G1091" s="70">
        <v>44652</v>
      </c>
      <c r="H1091" s="71">
        <v>44926</v>
      </c>
    </row>
    <row r="1092" spans="1:8" x14ac:dyDescent="0.2">
      <c r="A1092" s="32" t="s">
        <v>1185</v>
      </c>
      <c r="B1092" s="27" t="s">
        <v>849</v>
      </c>
      <c r="C1092" s="68">
        <v>419.30700000000002</v>
      </c>
      <c r="D1092" s="68">
        <v>188.68815000000001</v>
      </c>
      <c r="E1092" s="69" t="s">
        <v>8</v>
      </c>
      <c r="F1092" s="68"/>
      <c r="G1092" s="70">
        <v>44652</v>
      </c>
      <c r="H1092" s="71">
        <v>44926</v>
      </c>
    </row>
    <row r="1093" spans="1:8" x14ac:dyDescent="0.2">
      <c r="A1093" s="32" t="s">
        <v>1173</v>
      </c>
      <c r="B1093" s="27" t="s">
        <v>859</v>
      </c>
      <c r="C1093" s="68">
        <v>506.80350000000004</v>
      </c>
      <c r="D1093" s="68">
        <v>228.06157500000003</v>
      </c>
      <c r="E1093" s="69" t="s">
        <v>8</v>
      </c>
      <c r="F1093" s="68"/>
      <c r="G1093" s="70">
        <v>44652</v>
      </c>
      <c r="H1093" s="71">
        <v>44926</v>
      </c>
    </row>
    <row r="1094" spans="1:8" x14ac:dyDescent="0.2">
      <c r="A1094" s="32" t="s">
        <v>1161</v>
      </c>
      <c r="B1094" s="27" t="s">
        <v>1122</v>
      </c>
      <c r="C1094" s="68">
        <v>630</v>
      </c>
      <c r="D1094" s="68">
        <v>283.5</v>
      </c>
      <c r="E1094" s="69" t="s">
        <v>8</v>
      </c>
      <c r="F1094" s="68"/>
      <c r="G1094" s="70">
        <v>44652</v>
      </c>
      <c r="H1094" s="71">
        <v>44926</v>
      </c>
    </row>
    <row r="1095" spans="1:8" x14ac:dyDescent="0.2">
      <c r="A1095" s="32" t="s">
        <v>1193</v>
      </c>
      <c r="B1095" s="27" t="s">
        <v>1194</v>
      </c>
      <c r="C1095" s="68">
        <v>399.76650000000001</v>
      </c>
      <c r="D1095" s="68">
        <v>179.894925</v>
      </c>
      <c r="E1095" s="69" t="s">
        <v>8</v>
      </c>
      <c r="F1095" s="68"/>
      <c r="G1095" s="70">
        <v>44652</v>
      </c>
      <c r="H1095" s="71">
        <v>44926</v>
      </c>
    </row>
    <row r="1096" spans="1:8" x14ac:dyDescent="0.2">
      <c r="A1096" s="32" t="s">
        <v>854</v>
      </c>
      <c r="B1096" s="27" t="s">
        <v>849</v>
      </c>
      <c r="C1096" s="68">
        <v>546.9135</v>
      </c>
      <c r="D1096" s="68">
        <v>246.111075</v>
      </c>
      <c r="E1096" s="69" t="s">
        <v>8</v>
      </c>
      <c r="F1096" s="68"/>
      <c r="G1096" s="70">
        <v>44652</v>
      </c>
      <c r="H1096" s="71">
        <v>44926</v>
      </c>
    </row>
    <row r="1097" spans="1:8" x14ac:dyDescent="0.2">
      <c r="A1097" s="32" t="s">
        <v>855</v>
      </c>
      <c r="B1097" s="27" t="s">
        <v>851</v>
      </c>
      <c r="C1097" s="68">
        <v>613.38900000000001</v>
      </c>
      <c r="D1097" s="68">
        <v>276.02505000000002</v>
      </c>
      <c r="E1097" s="69" t="s">
        <v>8</v>
      </c>
      <c r="F1097" s="68"/>
      <c r="G1097" s="70">
        <v>44652</v>
      </c>
      <c r="H1097" s="71">
        <v>44926</v>
      </c>
    </row>
    <row r="1098" spans="1:8" x14ac:dyDescent="0.2">
      <c r="A1098" s="32" t="s">
        <v>1121</v>
      </c>
      <c r="B1098" s="27" t="s">
        <v>1122</v>
      </c>
      <c r="C1098" s="68">
        <v>547.4</v>
      </c>
      <c r="D1098" s="68">
        <v>246.32999999999998</v>
      </c>
      <c r="E1098" s="69" t="s">
        <v>8</v>
      </c>
      <c r="F1098" s="68"/>
      <c r="G1098" s="70">
        <v>44652</v>
      </c>
      <c r="H1098" s="71">
        <v>44926</v>
      </c>
    </row>
    <row r="1099" spans="1:8" x14ac:dyDescent="0.2">
      <c r="A1099" s="32" t="s">
        <v>1117</v>
      </c>
      <c r="B1099" s="27" t="s">
        <v>1118</v>
      </c>
      <c r="C1099" s="68">
        <v>577.20000000000005</v>
      </c>
      <c r="D1099" s="68">
        <v>259.74</v>
      </c>
      <c r="E1099" s="69" t="s">
        <v>8</v>
      </c>
      <c r="F1099" s="68"/>
      <c r="G1099" s="70">
        <v>44652</v>
      </c>
      <c r="H1099" s="71">
        <v>44926</v>
      </c>
    </row>
    <row r="1100" spans="1:8" x14ac:dyDescent="0.2">
      <c r="A1100" s="32" t="s">
        <v>1184</v>
      </c>
      <c r="B1100" s="27" t="s">
        <v>849</v>
      </c>
      <c r="C1100" s="68">
        <v>321.69900000000001</v>
      </c>
      <c r="D1100" s="68">
        <v>144.76455000000001</v>
      </c>
      <c r="E1100" s="69" t="s">
        <v>8</v>
      </c>
      <c r="F1100" s="68"/>
      <c r="G1100" s="70">
        <v>44652</v>
      </c>
      <c r="H1100" s="71">
        <v>44926</v>
      </c>
    </row>
    <row r="1101" spans="1:8" x14ac:dyDescent="0.2">
      <c r="A1101" s="32" t="s">
        <v>1152</v>
      </c>
      <c r="B1101" s="27" t="s">
        <v>1113</v>
      </c>
      <c r="C1101" s="68">
        <v>640</v>
      </c>
      <c r="D1101" s="68">
        <v>288</v>
      </c>
      <c r="E1101" s="69" t="s">
        <v>8</v>
      </c>
      <c r="F1101" s="68"/>
      <c r="G1101" s="70">
        <v>44652</v>
      </c>
      <c r="H1101" s="71">
        <v>44926</v>
      </c>
    </row>
    <row r="1102" spans="1:8" x14ac:dyDescent="0.2">
      <c r="A1102" s="32" t="s">
        <v>1112</v>
      </c>
      <c r="B1102" s="27" t="s">
        <v>1113</v>
      </c>
      <c r="C1102" s="68">
        <v>450</v>
      </c>
      <c r="D1102" s="68">
        <v>202.5</v>
      </c>
      <c r="E1102" s="69"/>
      <c r="F1102" s="68"/>
      <c r="G1102" s="70">
        <v>44652</v>
      </c>
      <c r="H1102" s="71">
        <v>44926</v>
      </c>
    </row>
    <row r="1103" spans="1:8" x14ac:dyDescent="0.2">
      <c r="A1103" s="32" t="s">
        <v>856</v>
      </c>
      <c r="B1103" s="27" t="s">
        <v>857</v>
      </c>
      <c r="C1103" s="68">
        <v>813.97050000000013</v>
      </c>
      <c r="D1103" s="68">
        <v>366.28672500000005</v>
      </c>
      <c r="E1103" s="69" t="s">
        <v>8</v>
      </c>
      <c r="F1103" s="68"/>
      <c r="G1103" s="70">
        <v>44652</v>
      </c>
      <c r="H1103" s="71">
        <v>44926</v>
      </c>
    </row>
    <row r="1104" spans="1:8" x14ac:dyDescent="0.2">
      <c r="A1104" s="32" t="s">
        <v>1148</v>
      </c>
      <c r="B1104" s="27" t="s">
        <v>1149</v>
      </c>
      <c r="C1104" s="68">
        <v>570</v>
      </c>
      <c r="D1104" s="68">
        <v>256.5</v>
      </c>
      <c r="E1104" s="69" t="s">
        <v>8</v>
      </c>
      <c r="F1104" s="68"/>
      <c r="G1104" s="70">
        <v>44652</v>
      </c>
      <c r="H1104" s="71">
        <v>44926</v>
      </c>
    </row>
    <row r="1105" spans="1:8" x14ac:dyDescent="0.2">
      <c r="A1105" s="32" t="s">
        <v>858</v>
      </c>
      <c r="B1105" s="27" t="s">
        <v>859</v>
      </c>
      <c r="C1105" s="68">
        <v>814.63200000000006</v>
      </c>
      <c r="D1105" s="68">
        <v>366.58440000000002</v>
      </c>
      <c r="E1105" s="69" t="s">
        <v>8</v>
      </c>
      <c r="F1105" s="68"/>
      <c r="G1105" s="70">
        <v>44652</v>
      </c>
      <c r="H1105" s="71">
        <v>44926</v>
      </c>
    </row>
    <row r="1106" spans="1:8" x14ac:dyDescent="0.2">
      <c r="A1106" s="32" t="s">
        <v>860</v>
      </c>
      <c r="B1106" s="27" t="s">
        <v>861</v>
      </c>
      <c r="C1106" s="68">
        <v>93.995999999999995</v>
      </c>
      <c r="D1106" s="68">
        <v>42.298200000000001</v>
      </c>
      <c r="E1106" s="69" t="s">
        <v>8</v>
      </c>
      <c r="F1106" s="68">
        <v>39.337326000000004</v>
      </c>
      <c r="G1106" s="70">
        <v>44652</v>
      </c>
      <c r="H1106" s="71">
        <v>44926</v>
      </c>
    </row>
    <row r="1107" spans="1:8" x14ac:dyDescent="0.2">
      <c r="A1107" s="32" t="s">
        <v>862</v>
      </c>
      <c r="B1107" s="27" t="s">
        <v>863</v>
      </c>
      <c r="C1107" s="68">
        <v>91.255499999999998</v>
      </c>
      <c r="D1107" s="68">
        <v>41.064974999999997</v>
      </c>
      <c r="E1107" s="69" t="s">
        <v>954</v>
      </c>
      <c r="F1107" s="68">
        <v>38.19042675</v>
      </c>
      <c r="G1107" s="70">
        <v>44652</v>
      </c>
      <c r="H1107" s="71">
        <v>44926</v>
      </c>
    </row>
    <row r="1108" spans="1:8" x14ac:dyDescent="0.2">
      <c r="A1108" s="32" t="s">
        <v>864</v>
      </c>
      <c r="B1108" s="27" t="s">
        <v>865</v>
      </c>
      <c r="C1108" s="68">
        <v>84</v>
      </c>
      <c r="D1108" s="68">
        <v>37.800000000000004</v>
      </c>
      <c r="E1108" s="69" t="s">
        <v>954</v>
      </c>
      <c r="F1108" s="68">
        <v>35.154000000000003</v>
      </c>
      <c r="G1108" s="70">
        <v>44652</v>
      </c>
      <c r="H1108" s="71">
        <v>44926</v>
      </c>
    </row>
    <row r="1109" spans="1:8" x14ac:dyDescent="0.2">
      <c r="A1109" s="32" t="s">
        <v>1352</v>
      </c>
      <c r="B1109" s="27" t="s">
        <v>1353</v>
      </c>
      <c r="C1109" s="68">
        <v>70.633499999999998</v>
      </c>
      <c r="D1109" s="68">
        <v>31.785074999999999</v>
      </c>
      <c r="E1109" s="69" t="s">
        <v>954</v>
      </c>
      <c r="F1109" s="68">
        <v>29.560119750000002</v>
      </c>
      <c r="G1109" s="70">
        <v>44652</v>
      </c>
      <c r="H1109" s="71">
        <v>44926</v>
      </c>
    </row>
    <row r="1110" spans="1:8" x14ac:dyDescent="0.2">
      <c r="A1110" s="32" t="s">
        <v>1165</v>
      </c>
      <c r="B1110" s="27" t="s">
        <v>1166</v>
      </c>
      <c r="C1110" s="68">
        <v>677.22900000000004</v>
      </c>
      <c r="D1110" s="68">
        <v>304.75305000000003</v>
      </c>
      <c r="E1110" s="69" t="s">
        <v>8</v>
      </c>
      <c r="F1110" s="68"/>
      <c r="G1110" s="70">
        <v>44652</v>
      </c>
      <c r="H1110" s="71">
        <v>44926</v>
      </c>
    </row>
    <row r="1111" spans="1:8" x14ac:dyDescent="0.2">
      <c r="A1111" s="32" t="s">
        <v>1167</v>
      </c>
      <c r="B1111" s="27" t="s">
        <v>1168</v>
      </c>
      <c r="C1111" s="68">
        <v>677.22900000000004</v>
      </c>
      <c r="D1111" s="68">
        <v>304.75305000000003</v>
      </c>
      <c r="E1111" s="69" t="s">
        <v>8</v>
      </c>
      <c r="F1111" s="68"/>
      <c r="G1111" s="70">
        <v>44652</v>
      </c>
      <c r="H1111" s="71">
        <v>44926</v>
      </c>
    </row>
    <row r="1112" spans="1:8" x14ac:dyDescent="0.2">
      <c r="A1112" s="32" t="s">
        <v>1261</v>
      </c>
      <c r="B1112" s="27" t="s">
        <v>1262</v>
      </c>
      <c r="C1112" s="68">
        <v>51</v>
      </c>
      <c r="D1112" s="68">
        <v>22.95</v>
      </c>
      <c r="E1112" s="69" t="s">
        <v>954</v>
      </c>
      <c r="F1112" s="68">
        <v>21.343499999999999</v>
      </c>
      <c r="G1112" s="70">
        <v>44652</v>
      </c>
      <c r="H1112" s="71">
        <v>44926</v>
      </c>
    </row>
    <row r="1113" spans="1:8" x14ac:dyDescent="0.2">
      <c r="A1113" s="32" t="s">
        <v>866</v>
      </c>
      <c r="B1113" s="27" t="s">
        <v>867</v>
      </c>
      <c r="C1113" s="68">
        <v>61.120500000000007</v>
      </c>
      <c r="D1113" s="68">
        <v>27.504225000000005</v>
      </c>
      <c r="E1113" s="69" t="s">
        <v>954</v>
      </c>
      <c r="F1113" s="68">
        <v>25.578929250000005</v>
      </c>
      <c r="G1113" s="70">
        <v>44652</v>
      </c>
      <c r="H1113" s="71">
        <v>44926</v>
      </c>
    </row>
    <row r="1114" spans="1:8" x14ac:dyDescent="0.2">
      <c r="A1114" s="32" t="s">
        <v>868</v>
      </c>
      <c r="B1114" s="27" t="s">
        <v>869</v>
      </c>
      <c r="C1114" s="68">
        <v>48</v>
      </c>
      <c r="D1114" s="68">
        <v>21.6</v>
      </c>
      <c r="E1114" s="69" t="s">
        <v>954</v>
      </c>
      <c r="F1114" s="68">
        <v>20.088000000000001</v>
      </c>
      <c r="G1114" s="70">
        <v>44652</v>
      </c>
      <c r="H1114" s="71">
        <v>44926</v>
      </c>
    </row>
    <row r="1115" spans="1:8" x14ac:dyDescent="0.2">
      <c r="A1115" s="32" t="s">
        <v>870</v>
      </c>
      <c r="B1115" s="27" t="s">
        <v>871</v>
      </c>
      <c r="C1115" s="68">
        <v>66.192000000000007</v>
      </c>
      <c r="D1115" s="68">
        <v>29.786400000000004</v>
      </c>
      <c r="E1115" s="69" t="s">
        <v>954</v>
      </c>
      <c r="F1115" s="68">
        <v>27.701352000000004</v>
      </c>
      <c r="G1115" s="70">
        <v>44652</v>
      </c>
      <c r="H1115" s="71">
        <v>44926</v>
      </c>
    </row>
    <row r="1116" spans="1:8" x14ac:dyDescent="0.2">
      <c r="A1116" s="32" t="s">
        <v>872</v>
      </c>
      <c r="B1116" s="27" t="s">
        <v>873</v>
      </c>
      <c r="C1116" s="68">
        <v>47.5</v>
      </c>
      <c r="D1116" s="68">
        <v>21.375</v>
      </c>
      <c r="E1116" s="69" t="s">
        <v>954</v>
      </c>
      <c r="F1116" s="68">
        <v>19.87875</v>
      </c>
      <c r="G1116" s="70">
        <v>44652</v>
      </c>
      <c r="H1116" s="71">
        <v>44926</v>
      </c>
    </row>
    <row r="1117" spans="1:8" x14ac:dyDescent="0.2">
      <c r="A1117" s="32" t="s">
        <v>874</v>
      </c>
      <c r="B1117" s="27" t="s">
        <v>875</v>
      </c>
      <c r="C1117" s="68">
        <v>67.808999999999997</v>
      </c>
      <c r="D1117" s="68">
        <v>30.514050000000001</v>
      </c>
      <c r="E1117" s="69" t="s">
        <v>8</v>
      </c>
      <c r="F1117" s="68"/>
      <c r="G1117" s="70">
        <v>44652</v>
      </c>
      <c r="H1117" s="71">
        <v>44926</v>
      </c>
    </row>
    <row r="1118" spans="1:8" x14ac:dyDescent="0.2">
      <c r="A1118" s="32" t="s">
        <v>876</v>
      </c>
      <c r="B1118" s="27" t="s">
        <v>875</v>
      </c>
      <c r="C1118" s="68">
        <v>49.5</v>
      </c>
      <c r="D1118" s="68">
        <v>22.275000000000002</v>
      </c>
      <c r="E1118" s="69" t="s">
        <v>8</v>
      </c>
      <c r="F1118" s="68"/>
      <c r="G1118" s="70">
        <v>44652</v>
      </c>
      <c r="H1118" s="71">
        <v>44926</v>
      </c>
    </row>
    <row r="1119" spans="1:8" x14ac:dyDescent="0.2">
      <c r="A1119" s="32" t="s">
        <v>877</v>
      </c>
      <c r="B1119" s="27" t="s">
        <v>878</v>
      </c>
      <c r="C1119" s="68">
        <v>106.29150000000001</v>
      </c>
      <c r="D1119" s="68">
        <v>47.831175000000009</v>
      </c>
      <c r="E1119" s="69" t="s">
        <v>954</v>
      </c>
      <c r="F1119" s="68">
        <v>44.482992750000008</v>
      </c>
      <c r="G1119" s="70">
        <v>44652</v>
      </c>
      <c r="H1119" s="71">
        <v>44926</v>
      </c>
    </row>
    <row r="1120" spans="1:8" x14ac:dyDescent="0.2">
      <c r="A1120" s="32" t="s">
        <v>879</v>
      </c>
      <c r="B1120" s="27" t="s">
        <v>880</v>
      </c>
      <c r="C1120" s="68">
        <v>27.6</v>
      </c>
      <c r="D1120" s="68">
        <v>12.420000000000002</v>
      </c>
      <c r="E1120" s="69" t="s">
        <v>954</v>
      </c>
      <c r="F1120" s="68">
        <v>11.550600000000003</v>
      </c>
      <c r="G1120" s="70">
        <v>44652</v>
      </c>
      <c r="H1120" s="71">
        <v>44926</v>
      </c>
    </row>
    <row r="1121" spans="1:8" x14ac:dyDescent="0.2">
      <c r="A1121" s="32" t="s">
        <v>881</v>
      </c>
      <c r="B1121" s="27" t="s">
        <v>882</v>
      </c>
      <c r="C1121" s="68">
        <v>28.53</v>
      </c>
      <c r="D1121" s="68">
        <v>12.838500000000002</v>
      </c>
      <c r="E1121" s="69" t="s">
        <v>954</v>
      </c>
      <c r="F1121" s="68">
        <v>11.939805000000002</v>
      </c>
      <c r="G1121" s="70">
        <v>44652</v>
      </c>
      <c r="H1121" s="71">
        <v>44926</v>
      </c>
    </row>
    <row r="1122" spans="1:8" x14ac:dyDescent="0.2">
      <c r="A1122" s="32" t="s">
        <v>1058</v>
      </c>
      <c r="B1122" s="27" t="s">
        <v>1059</v>
      </c>
      <c r="C1122" s="68">
        <v>76.150000000000006</v>
      </c>
      <c r="D1122" s="68">
        <v>34.267500000000005</v>
      </c>
      <c r="E1122" s="69" t="s">
        <v>954</v>
      </c>
      <c r="F1122" s="68">
        <v>31.868775000000007</v>
      </c>
      <c r="G1122" s="70">
        <v>44652</v>
      </c>
      <c r="H1122" s="71">
        <v>44926</v>
      </c>
    </row>
    <row r="1123" spans="1:8" x14ac:dyDescent="0.2">
      <c r="A1123" s="32" t="s">
        <v>1275</v>
      </c>
      <c r="B1123" s="27" t="s">
        <v>1276</v>
      </c>
      <c r="C1123" s="68">
        <v>157.65</v>
      </c>
      <c r="D1123" s="68">
        <v>70.94250000000001</v>
      </c>
      <c r="E1123" s="69"/>
      <c r="F1123" s="68">
        <v>65.976525000000009</v>
      </c>
      <c r="G1123" s="70">
        <v>44652</v>
      </c>
      <c r="H1123" s="71">
        <v>44926</v>
      </c>
    </row>
    <row r="1124" spans="1:8" x14ac:dyDescent="0.2">
      <c r="A1124" s="32" t="s">
        <v>883</v>
      </c>
      <c r="B1124" s="27" t="s">
        <v>884</v>
      </c>
      <c r="C1124" s="68">
        <v>71.86</v>
      </c>
      <c r="D1124" s="68">
        <v>32.337000000000003</v>
      </c>
      <c r="E1124" s="69" t="s">
        <v>954</v>
      </c>
      <c r="F1124" s="68">
        <v>30.073410000000006</v>
      </c>
      <c r="G1124" s="70">
        <v>44652</v>
      </c>
      <c r="H1124" s="71">
        <v>44926</v>
      </c>
    </row>
    <row r="1125" spans="1:8" x14ac:dyDescent="0.2">
      <c r="A1125" s="32" t="s">
        <v>1063</v>
      </c>
      <c r="B1125" s="27" t="s">
        <v>888</v>
      </c>
      <c r="C1125" s="68">
        <v>108</v>
      </c>
      <c r="D1125" s="68">
        <v>48.6</v>
      </c>
      <c r="E1125" s="69" t="s">
        <v>954</v>
      </c>
      <c r="F1125" s="68">
        <v>45.198</v>
      </c>
      <c r="G1125" s="70">
        <v>44652</v>
      </c>
      <c r="H1125" s="71">
        <v>44926</v>
      </c>
    </row>
    <row r="1126" spans="1:8" x14ac:dyDescent="0.2">
      <c r="A1126" s="32" t="s">
        <v>885</v>
      </c>
      <c r="B1126" s="27" t="s">
        <v>884</v>
      </c>
      <c r="C1126" s="68">
        <v>71.150000000000006</v>
      </c>
      <c r="D1126" s="68">
        <v>32.017500000000005</v>
      </c>
      <c r="E1126" s="69" t="s">
        <v>954</v>
      </c>
      <c r="F1126" s="68">
        <v>29.776275000000005</v>
      </c>
      <c r="G1126" s="70">
        <v>44652</v>
      </c>
      <c r="H1126" s="71">
        <v>44926</v>
      </c>
    </row>
    <row r="1127" spans="1:8" x14ac:dyDescent="0.2">
      <c r="A1127" s="32" t="s">
        <v>886</v>
      </c>
      <c r="B1127" s="27" t="s">
        <v>884</v>
      </c>
      <c r="C1127" s="68">
        <v>74.349999999999994</v>
      </c>
      <c r="D1127" s="68">
        <v>33.457499999999996</v>
      </c>
      <c r="E1127" s="69" t="s">
        <v>954</v>
      </c>
      <c r="F1127" s="68">
        <v>31.115474999999996</v>
      </c>
      <c r="G1127" s="70">
        <v>44652</v>
      </c>
      <c r="H1127" s="71">
        <v>44926</v>
      </c>
    </row>
    <row r="1128" spans="1:8" x14ac:dyDescent="0.2">
      <c r="A1128" s="32" t="s">
        <v>887</v>
      </c>
      <c r="B1128" s="27" t="s">
        <v>888</v>
      </c>
      <c r="C1128" s="68">
        <v>119.75</v>
      </c>
      <c r="D1128" s="68">
        <v>53.887500000000003</v>
      </c>
      <c r="E1128" s="69" t="s">
        <v>954</v>
      </c>
      <c r="F1128" s="68">
        <v>50.115375000000007</v>
      </c>
      <c r="G1128" s="70">
        <v>44652</v>
      </c>
      <c r="H1128" s="71">
        <v>44926</v>
      </c>
    </row>
    <row r="1129" spans="1:8" x14ac:dyDescent="0.2">
      <c r="A1129" s="32" t="s">
        <v>1057</v>
      </c>
      <c r="B1129" s="27" t="s">
        <v>884</v>
      </c>
      <c r="C1129" s="68">
        <v>85.6</v>
      </c>
      <c r="D1129" s="68">
        <v>38.519999999999996</v>
      </c>
      <c r="E1129" s="69" t="s">
        <v>954</v>
      </c>
      <c r="F1129" s="68">
        <v>35.823599999999999</v>
      </c>
      <c r="G1129" s="70">
        <v>44652</v>
      </c>
      <c r="H1129" s="71">
        <v>44926</v>
      </c>
    </row>
    <row r="1130" spans="1:8" x14ac:dyDescent="0.2">
      <c r="A1130" s="32" t="s">
        <v>889</v>
      </c>
      <c r="B1130" s="27" t="s">
        <v>890</v>
      </c>
      <c r="C1130" s="68">
        <v>80.14</v>
      </c>
      <c r="D1130" s="68">
        <v>36.063000000000002</v>
      </c>
      <c r="E1130" s="69" t="s">
        <v>8</v>
      </c>
      <c r="F1130" s="68"/>
      <c r="G1130" s="70">
        <v>44652</v>
      </c>
      <c r="H1130" s="71">
        <v>44926</v>
      </c>
    </row>
    <row r="1131" spans="1:8" x14ac:dyDescent="0.2">
      <c r="A1131" s="32" t="s">
        <v>891</v>
      </c>
      <c r="B1131" s="27" t="s">
        <v>892</v>
      </c>
      <c r="C1131" s="68">
        <v>126</v>
      </c>
      <c r="D1131" s="68">
        <v>56.7</v>
      </c>
      <c r="E1131" s="69" t="s">
        <v>954</v>
      </c>
      <c r="F1131" s="68">
        <v>52.731000000000009</v>
      </c>
      <c r="G1131" s="70">
        <v>44652</v>
      </c>
      <c r="H1131" s="71">
        <v>44926</v>
      </c>
    </row>
    <row r="1132" spans="1:8" x14ac:dyDescent="0.2">
      <c r="A1132" s="32" t="s">
        <v>893</v>
      </c>
      <c r="B1132" s="27" t="s">
        <v>894</v>
      </c>
      <c r="C1132" s="68">
        <v>154</v>
      </c>
      <c r="D1132" s="68">
        <v>69.3</v>
      </c>
      <c r="E1132" s="69" t="s">
        <v>8</v>
      </c>
      <c r="F1132" s="68"/>
      <c r="G1132" s="70">
        <v>44652</v>
      </c>
      <c r="H1132" s="71">
        <v>44926</v>
      </c>
    </row>
    <row r="1133" spans="1:8" x14ac:dyDescent="0.2">
      <c r="A1133" s="32" t="s">
        <v>895</v>
      </c>
      <c r="B1133" s="27" t="s">
        <v>896</v>
      </c>
      <c r="C1133" s="68">
        <v>179</v>
      </c>
      <c r="D1133" s="68">
        <v>80.55</v>
      </c>
      <c r="E1133" s="69" t="s">
        <v>8</v>
      </c>
      <c r="F1133" s="68"/>
      <c r="G1133" s="70">
        <v>44652</v>
      </c>
      <c r="H1133" s="71">
        <v>44926</v>
      </c>
    </row>
    <row r="1134" spans="1:8" x14ac:dyDescent="0.2">
      <c r="A1134" s="32" t="s">
        <v>897</v>
      </c>
      <c r="B1134" s="27" t="s">
        <v>898</v>
      </c>
      <c r="C1134" s="68">
        <v>142</v>
      </c>
      <c r="D1134" s="68">
        <v>63.9</v>
      </c>
      <c r="E1134" s="69" t="s">
        <v>8</v>
      </c>
      <c r="F1134" s="68"/>
      <c r="G1134" s="70">
        <v>44652</v>
      </c>
      <c r="H1134" s="71">
        <v>44926</v>
      </c>
    </row>
    <row r="1135" spans="1:8" x14ac:dyDescent="0.2">
      <c r="A1135" s="32" t="s">
        <v>899</v>
      </c>
      <c r="B1135" s="27" t="s">
        <v>900</v>
      </c>
      <c r="C1135" s="68">
        <v>161.5</v>
      </c>
      <c r="D1135" s="68">
        <v>72.674999999999997</v>
      </c>
      <c r="E1135" s="69" t="s">
        <v>954</v>
      </c>
      <c r="F1135" s="68">
        <v>67.58775</v>
      </c>
      <c r="G1135" s="70">
        <v>44652</v>
      </c>
      <c r="H1135" s="71">
        <v>44926</v>
      </c>
    </row>
    <row r="1136" spans="1:8" x14ac:dyDescent="0.2">
      <c r="A1136" s="32" t="s">
        <v>1283</v>
      </c>
      <c r="B1136" s="27" t="s">
        <v>1284</v>
      </c>
      <c r="C1136" s="68">
        <v>192</v>
      </c>
      <c r="D1136" s="68">
        <v>86.4</v>
      </c>
      <c r="E1136" s="69" t="s">
        <v>8</v>
      </c>
      <c r="F1136" s="68"/>
      <c r="G1136" s="70">
        <v>44652</v>
      </c>
      <c r="H1136" s="71">
        <v>44926</v>
      </c>
    </row>
    <row r="1137" spans="1:8" x14ac:dyDescent="0.2">
      <c r="A1137" s="32" t="s">
        <v>1301</v>
      </c>
      <c r="B1137" s="27" t="s">
        <v>1302</v>
      </c>
      <c r="C1137" s="68">
        <v>187.85550000000001</v>
      </c>
      <c r="D1137" s="68">
        <v>84.534975000000003</v>
      </c>
      <c r="E1137" s="69" t="s">
        <v>8</v>
      </c>
      <c r="F1137" s="68"/>
      <c r="G1137" s="70">
        <v>44652</v>
      </c>
      <c r="H1137" s="71">
        <v>44926</v>
      </c>
    </row>
    <row r="1138" spans="1:8" x14ac:dyDescent="0.2">
      <c r="A1138" s="32" t="s">
        <v>1297</v>
      </c>
      <c r="B1138" s="27" t="s">
        <v>1298</v>
      </c>
      <c r="C1138" s="68">
        <v>193.22100000000003</v>
      </c>
      <c r="D1138" s="68">
        <v>86.949450000000013</v>
      </c>
      <c r="E1138" s="69" t="s">
        <v>8</v>
      </c>
      <c r="F1138" s="68"/>
      <c r="G1138" s="70">
        <v>44652</v>
      </c>
      <c r="H1138" s="71">
        <v>44926</v>
      </c>
    </row>
    <row r="1139" spans="1:8" x14ac:dyDescent="0.2">
      <c r="A1139" s="32" t="s">
        <v>901</v>
      </c>
      <c r="B1139" s="27" t="s">
        <v>902</v>
      </c>
      <c r="C1139" s="68">
        <v>125.349</v>
      </c>
      <c r="D1139" s="68">
        <v>56.407050000000005</v>
      </c>
      <c r="E1139" s="69" t="s">
        <v>954</v>
      </c>
      <c r="F1139" s="68">
        <v>52.458556500000007</v>
      </c>
      <c r="G1139" s="70">
        <v>44652</v>
      </c>
      <c r="H1139" s="71">
        <v>44926</v>
      </c>
    </row>
    <row r="1140" spans="1:8" x14ac:dyDescent="0.2">
      <c r="A1140" s="32" t="s">
        <v>903</v>
      </c>
      <c r="B1140" s="27" t="s">
        <v>892</v>
      </c>
      <c r="C1140" s="68">
        <v>115</v>
      </c>
      <c r="D1140" s="68">
        <v>51.75</v>
      </c>
      <c r="E1140" s="69" t="s">
        <v>8</v>
      </c>
      <c r="F1140" s="68"/>
      <c r="G1140" s="70">
        <v>44652</v>
      </c>
      <c r="H1140" s="71">
        <v>44926</v>
      </c>
    </row>
    <row r="1141" spans="1:8" x14ac:dyDescent="0.2">
      <c r="A1141" s="32" t="s">
        <v>904</v>
      </c>
      <c r="B1141" s="27" t="s">
        <v>892</v>
      </c>
      <c r="C1141" s="68">
        <v>129.5</v>
      </c>
      <c r="D1141" s="68">
        <v>58.274999999999999</v>
      </c>
      <c r="E1141" s="69" t="s">
        <v>954</v>
      </c>
      <c r="F1141" s="68">
        <v>54.195750000000004</v>
      </c>
      <c r="G1141" s="70">
        <v>44652</v>
      </c>
      <c r="H1141" s="71">
        <v>44926</v>
      </c>
    </row>
    <row r="1142" spans="1:8" x14ac:dyDescent="0.2">
      <c r="A1142" s="32" t="s">
        <v>1290</v>
      </c>
      <c r="B1142" s="27" t="s">
        <v>892</v>
      </c>
      <c r="C1142" s="68">
        <v>136</v>
      </c>
      <c r="D1142" s="68">
        <v>61.2</v>
      </c>
      <c r="E1142" s="69" t="s">
        <v>8</v>
      </c>
      <c r="F1142" s="68"/>
      <c r="G1142" s="70">
        <v>44652</v>
      </c>
      <c r="H1142" s="71">
        <v>44926</v>
      </c>
    </row>
    <row r="1143" spans="1:8" x14ac:dyDescent="0.2">
      <c r="A1143" s="32" t="s">
        <v>905</v>
      </c>
      <c r="B1143" s="27" t="s">
        <v>906</v>
      </c>
      <c r="C1143" s="68">
        <v>138.69999999999999</v>
      </c>
      <c r="D1143" s="68">
        <v>62.414999999999999</v>
      </c>
      <c r="E1143" s="69" t="s">
        <v>8</v>
      </c>
      <c r="F1143" s="68"/>
      <c r="G1143" s="70">
        <v>44652</v>
      </c>
      <c r="H1143" s="71">
        <v>44926</v>
      </c>
    </row>
    <row r="1144" spans="1:8" x14ac:dyDescent="0.2">
      <c r="A1144" s="32" t="s">
        <v>907</v>
      </c>
      <c r="B1144" s="27" t="s">
        <v>896</v>
      </c>
      <c r="C1144" s="68">
        <v>140</v>
      </c>
      <c r="D1144" s="68">
        <v>63</v>
      </c>
      <c r="E1144" s="69" t="s">
        <v>8</v>
      </c>
      <c r="F1144" s="68"/>
      <c r="G1144" s="70">
        <v>44652</v>
      </c>
      <c r="H1144" s="71">
        <v>44926</v>
      </c>
    </row>
    <row r="1145" spans="1:8" x14ac:dyDescent="0.2">
      <c r="A1145" s="32" t="s">
        <v>908</v>
      </c>
      <c r="B1145" s="27" t="s">
        <v>909</v>
      </c>
      <c r="C1145" s="68">
        <v>162.69999999999999</v>
      </c>
      <c r="D1145" s="68">
        <v>73.215000000000003</v>
      </c>
      <c r="E1145" s="69" t="s">
        <v>954</v>
      </c>
      <c r="F1145" s="68">
        <v>68.089950000000002</v>
      </c>
      <c r="G1145" s="70">
        <v>44652</v>
      </c>
      <c r="H1145" s="71">
        <v>44926</v>
      </c>
    </row>
    <row r="1146" spans="1:8" x14ac:dyDescent="0.2">
      <c r="A1146" s="32" t="s">
        <v>1322</v>
      </c>
      <c r="B1146" s="27" t="s">
        <v>1302</v>
      </c>
      <c r="C1146" s="68">
        <v>176.72</v>
      </c>
      <c r="D1146" s="68">
        <v>79.524000000000001</v>
      </c>
      <c r="E1146" s="69" t="s">
        <v>954</v>
      </c>
      <c r="F1146" s="68">
        <v>73.95732000000001</v>
      </c>
      <c r="G1146" s="70">
        <v>44652</v>
      </c>
      <c r="H1146" s="71">
        <v>44926</v>
      </c>
    </row>
    <row r="1147" spans="1:8" x14ac:dyDescent="0.2">
      <c r="A1147" s="32" t="s">
        <v>910</v>
      </c>
      <c r="B1147" s="27" t="s">
        <v>892</v>
      </c>
      <c r="C1147" s="68">
        <v>140.1</v>
      </c>
      <c r="D1147" s="68">
        <v>63.045000000000002</v>
      </c>
      <c r="E1147" s="69" t="s">
        <v>954</v>
      </c>
      <c r="F1147" s="68">
        <v>58.631850000000007</v>
      </c>
      <c r="G1147" s="70">
        <v>44652</v>
      </c>
      <c r="H1147" s="71">
        <v>44926</v>
      </c>
    </row>
    <row r="1148" spans="1:8" x14ac:dyDescent="0.2">
      <c r="A1148" s="32" t="s">
        <v>911</v>
      </c>
      <c r="B1148" s="27" t="s">
        <v>912</v>
      </c>
      <c r="C1148" s="68">
        <v>258.38400000000001</v>
      </c>
      <c r="D1148" s="68">
        <v>116.2728</v>
      </c>
      <c r="E1148" s="69" t="s">
        <v>954</v>
      </c>
      <c r="F1148" s="68">
        <v>108.13370400000001</v>
      </c>
      <c r="G1148" s="70">
        <v>44652</v>
      </c>
      <c r="H1148" s="71">
        <v>44926</v>
      </c>
    </row>
    <row r="1149" spans="1:8" x14ac:dyDescent="0.2">
      <c r="A1149" s="32" t="s">
        <v>1263</v>
      </c>
      <c r="B1149" s="27" t="s">
        <v>1264</v>
      </c>
      <c r="C1149" s="68">
        <v>66.412500000000009</v>
      </c>
      <c r="D1149" s="68">
        <v>29.885625000000005</v>
      </c>
      <c r="E1149" s="69" t="s">
        <v>954</v>
      </c>
      <c r="F1149" s="68">
        <v>27.793631250000004</v>
      </c>
      <c r="G1149" s="70">
        <v>44652</v>
      </c>
      <c r="H1149" s="71">
        <v>44926</v>
      </c>
    </row>
    <row r="1150" spans="1:8" x14ac:dyDescent="0.2">
      <c r="A1150" s="32" t="s">
        <v>1267</v>
      </c>
      <c r="B1150" s="27" t="s">
        <v>1268</v>
      </c>
      <c r="C1150" s="68">
        <v>43.785000000000004</v>
      </c>
      <c r="D1150" s="68">
        <v>19.703250000000001</v>
      </c>
      <c r="E1150" s="69" t="s">
        <v>954</v>
      </c>
      <c r="F1150" s="68">
        <v>18.324022500000002</v>
      </c>
      <c r="G1150" s="70">
        <v>44652</v>
      </c>
      <c r="H1150" s="71">
        <v>44926</v>
      </c>
    </row>
    <row r="1151" spans="1:8" x14ac:dyDescent="0.2">
      <c r="A1151" s="32" t="s">
        <v>1344</v>
      </c>
      <c r="B1151" s="27" t="s">
        <v>1345</v>
      </c>
      <c r="C1151" s="68">
        <v>40.036500000000004</v>
      </c>
      <c r="D1151" s="68">
        <v>18.016425000000002</v>
      </c>
      <c r="E1151" s="69" t="s">
        <v>954</v>
      </c>
      <c r="F1151" s="68">
        <v>16.755275250000004</v>
      </c>
      <c r="G1151" s="70">
        <v>44652</v>
      </c>
      <c r="H1151" s="71">
        <v>44926</v>
      </c>
    </row>
    <row r="1152" spans="1:8" x14ac:dyDescent="0.2">
      <c r="A1152" s="32" t="s">
        <v>913</v>
      </c>
      <c r="B1152" s="27" t="s">
        <v>914</v>
      </c>
      <c r="C1152" s="68">
        <v>66.412500000000009</v>
      </c>
      <c r="D1152" s="68">
        <v>29.885625000000005</v>
      </c>
      <c r="E1152" s="69" t="s">
        <v>954</v>
      </c>
      <c r="F1152" s="68">
        <v>27.793631250000004</v>
      </c>
      <c r="G1152" s="70">
        <v>44652</v>
      </c>
      <c r="H1152" s="71">
        <v>44926</v>
      </c>
    </row>
    <row r="1153" spans="1:8" x14ac:dyDescent="0.2">
      <c r="A1153" s="32" t="s">
        <v>1265</v>
      </c>
      <c r="B1153" s="27" t="s">
        <v>1266</v>
      </c>
      <c r="C1153" s="68">
        <v>41.916000000000004</v>
      </c>
      <c r="D1153" s="68">
        <v>18.862200000000001</v>
      </c>
      <c r="E1153" s="69" t="s">
        <v>954</v>
      </c>
      <c r="F1153" s="68">
        <v>17.541846000000003</v>
      </c>
      <c r="G1153" s="70">
        <v>44652</v>
      </c>
      <c r="H1153" s="71">
        <v>44926</v>
      </c>
    </row>
    <row r="1154" spans="1:8" x14ac:dyDescent="0.2">
      <c r="A1154" s="32" t="s">
        <v>915</v>
      </c>
      <c r="B1154" s="27" t="s">
        <v>916</v>
      </c>
      <c r="C1154" s="68">
        <v>47.817</v>
      </c>
      <c r="D1154" s="68">
        <v>21.51765</v>
      </c>
      <c r="E1154" s="69" t="s">
        <v>954</v>
      </c>
      <c r="F1154" s="68">
        <v>20.011414500000001</v>
      </c>
      <c r="G1154" s="70">
        <v>44652</v>
      </c>
      <c r="H1154" s="71">
        <v>44926</v>
      </c>
    </row>
    <row r="1155" spans="1:8" x14ac:dyDescent="0.2">
      <c r="A1155" s="32" t="s">
        <v>917</v>
      </c>
      <c r="B1155" s="27" t="s">
        <v>918</v>
      </c>
      <c r="C1155" s="68">
        <v>166.72</v>
      </c>
      <c r="D1155" s="68">
        <v>75.024000000000001</v>
      </c>
      <c r="E1155" s="69" t="s">
        <v>8</v>
      </c>
      <c r="F1155" s="68"/>
      <c r="G1155" s="70">
        <v>44652</v>
      </c>
      <c r="H1155" s="71">
        <v>44926</v>
      </c>
    </row>
    <row r="1156" spans="1:8" x14ac:dyDescent="0.2">
      <c r="A1156" s="32" t="s">
        <v>1069</v>
      </c>
      <c r="B1156" s="27" t="s">
        <v>1070</v>
      </c>
      <c r="C1156" s="68">
        <v>611.13149999999996</v>
      </c>
      <c r="D1156" s="68">
        <v>275.00917499999997</v>
      </c>
      <c r="E1156" s="69" t="s">
        <v>8</v>
      </c>
      <c r="F1156" s="68"/>
      <c r="G1156" s="70">
        <v>44652</v>
      </c>
      <c r="H1156" s="71">
        <v>44926</v>
      </c>
    </row>
    <row r="1157" spans="1:8" x14ac:dyDescent="0.2">
      <c r="A1157" s="32" t="s">
        <v>919</v>
      </c>
      <c r="B1157" s="27" t="s">
        <v>920</v>
      </c>
      <c r="C1157" s="68">
        <v>158.12</v>
      </c>
      <c r="D1157" s="68">
        <v>71.154000000000011</v>
      </c>
      <c r="E1157" s="69" t="s">
        <v>8</v>
      </c>
      <c r="F1157" s="68"/>
      <c r="G1157" s="70">
        <v>44652</v>
      </c>
      <c r="H1157" s="71">
        <v>44926</v>
      </c>
    </row>
    <row r="1158" spans="1:8" x14ac:dyDescent="0.2">
      <c r="A1158" s="32" t="s">
        <v>1067</v>
      </c>
      <c r="B1158" s="27" t="s">
        <v>1068</v>
      </c>
      <c r="C1158" s="68">
        <v>608.69550000000004</v>
      </c>
      <c r="D1158" s="68">
        <v>273.91297500000002</v>
      </c>
      <c r="E1158" s="69" t="s">
        <v>8</v>
      </c>
      <c r="F1158" s="68"/>
      <c r="G1158" s="70">
        <v>44652</v>
      </c>
      <c r="H1158" s="71">
        <v>44926</v>
      </c>
    </row>
    <row r="1159" spans="1:8" x14ac:dyDescent="0.2">
      <c r="A1159" s="32" t="s">
        <v>921</v>
      </c>
      <c r="B1159" s="27" t="s">
        <v>922</v>
      </c>
      <c r="C1159" s="68">
        <v>71.5</v>
      </c>
      <c r="D1159" s="68">
        <v>32.175000000000004</v>
      </c>
      <c r="E1159" s="69" t="s">
        <v>954</v>
      </c>
      <c r="F1159" s="68">
        <v>29.922750000000004</v>
      </c>
      <c r="G1159" s="70">
        <v>44652</v>
      </c>
      <c r="H1159" s="71">
        <v>44926</v>
      </c>
    </row>
    <row r="1160" spans="1:8" x14ac:dyDescent="0.2">
      <c r="A1160" s="32" t="s">
        <v>923</v>
      </c>
      <c r="B1160" s="27" t="s">
        <v>924</v>
      </c>
      <c r="C1160" s="68">
        <v>75</v>
      </c>
      <c r="D1160" s="68">
        <v>33.75</v>
      </c>
      <c r="E1160" s="69" t="s">
        <v>954</v>
      </c>
      <c r="F1160" s="68">
        <v>31.387500000000003</v>
      </c>
      <c r="G1160" s="70">
        <v>44652</v>
      </c>
      <c r="H1160" s="71">
        <v>44926</v>
      </c>
    </row>
    <row r="1161" spans="1:8" x14ac:dyDescent="0.2">
      <c r="A1161" s="32" t="s">
        <v>925</v>
      </c>
      <c r="B1161" s="27" t="s">
        <v>926</v>
      </c>
      <c r="C1161" s="68">
        <v>75</v>
      </c>
      <c r="D1161" s="68">
        <v>33.75</v>
      </c>
      <c r="E1161" s="69" t="s">
        <v>954</v>
      </c>
      <c r="F1161" s="68">
        <v>31.387500000000003</v>
      </c>
      <c r="G1161" s="70">
        <v>44652</v>
      </c>
      <c r="H1161" s="71">
        <v>44926</v>
      </c>
    </row>
    <row r="1162" spans="1:8" x14ac:dyDescent="0.2">
      <c r="A1162" s="32" t="s">
        <v>927</v>
      </c>
      <c r="B1162" s="27" t="s">
        <v>922</v>
      </c>
      <c r="C1162" s="68">
        <v>69.75</v>
      </c>
      <c r="D1162" s="68">
        <v>31.387499999999999</v>
      </c>
      <c r="E1162" s="69" t="s">
        <v>954</v>
      </c>
      <c r="F1162" s="68">
        <v>29.190375</v>
      </c>
      <c r="G1162" s="70">
        <v>44652</v>
      </c>
      <c r="H1162" s="71">
        <v>44926</v>
      </c>
    </row>
    <row r="1163" spans="1:8" x14ac:dyDescent="0.2">
      <c r="A1163" s="32" t="s">
        <v>928</v>
      </c>
      <c r="B1163" s="27" t="s">
        <v>929</v>
      </c>
      <c r="C1163" s="68">
        <v>52</v>
      </c>
      <c r="D1163" s="68">
        <v>23.400000000000002</v>
      </c>
      <c r="E1163" s="69" t="s">
        <v>954</v>
      </c>
      <c r="F1163" s="68">
        <v>21.762000000000004</v>
      </c>
      <c r="G1163" s="70">
        <v>44652</v>
      </c>
      <c r="H1163" s="71">
        <v>44926</v>
      </c>
    </row>
    <row r="1164" spans="1:8" x14ac:dyDescent="0.2">
      <c r="A1164" s="32" t="s">
        <v>930</v>
      </c>
      <c r="B1164" s="27" t="s">
        <v>931</v>
      </c>
      <c r="C1164" s="68">
        <v>58.621499999999997</v>
      </c>
      <c r="D1164" s="68">
        <v>26.379674999999999</v>
      </c>
      <c r="E1164" s="69" t="s">
        <v>954</v>
      </c>
      <c r="F1164" s="68">
        <v>24.53309775</v>
      </c>
      <c r="G1164" s="70">
        <v>44652</v>
      </c>
      <c r="H1164" s="71">
        <v>44926</v>
      </c>
    </row>
    <row r="1165" spans="1:8" x14ac:dyDescent="0.2">
      <c r="A1165" s="32" t="s">
        <v>932</v>
      </c>
      <c r="B1165" s="27" t="s">
        <v>933</v>
      </c>
      <c r="C1165" s="68">
        <v>107.19450000000001</v>
      </c>
      <c r="D1165" s="68">
        <v>48.237525000000005</v>
      </c>
      <c r="E1165" s="69" t="s">
        <v>954</v>
      </c>
      <c r="F1165" s="68">
        <v>44.860898250000005</v>
      </c>
      <c r="G1165" s="70">
        <v>44652</v>
      </c>
      <c r="H1165" s="71">
        <v>44926</v>
      </c>
    </row>
    <row r="1166" spans="1:8" x14ac:dyDescent="0.2">
      <c r="A1166" s="32" t="s">
        <v>934</v>
      </c>
      <c r="B1166" s="27" t="s">
        <v>935</v>
      </c>
      <c r="C1166" s="68">
        <v>70.507500000000007</v>
      </c>
      <c r="D1166" s="68">
        <v>31.728375000000003</v>
      </c>
      <c r="E1166" s="69" t="s">
        <v>954</v>
      </c>
      <c r="F1166" s="68">
        <v>29.507388750000004</v>
      </c>
      <c r="G1166" s="70">
        <v>44652</v>
      </c>
      <c r="H1166" s="71">
        <v>44926</v>
      </c>
    </row>
    <row r="1167" spans="1:8" x14ac:dyDescent="0.2">
      <c r="A1167" s="32" t="s">
        <v>1127</v>
      </c>
      <c r="B1167" s="27" t="s">
        <v>937</v>
      </c>
      <c r="C1167" s="68">
        <v>587.35</v>
      </c>
      <c r="D1167" s="68">
        <v>264.3075</v>
      </c>
      <c r="E1167" s="69" t="s">
        <v>8</v>
      </c>
      <c r="F1167" s="68"/>
      <c r="G1167" s="70">
        <v>44652</v>
      </c>
      <c r="H1167" s="71">
        <v>44926</v>
      </c>
    </row>
    <row r="1168" spans="1:8" x14ac:dyDescent="0.2">
      <c r="A1168" s="32" t="s">
        <v>1065</v>
      </c>
      <c r="B1168" s="27" t="s">
        <v>1066</v>
      </c>
      <c r="C1168" s="68">
        <v>821.18400000000008</v>
      </c>
      <c r="D1168" s="68">
        <v>369.53280000000007</v>
      </c>
      <c r="E1168" s="69" t="s">
        <v>8</v>
      </c>
      <c r="F1168" s="68"/>
      <c r="G1168" s="70">
        <v>44652</v>
      </c>
      <c r="H1168" s="71">
        <v>44926</v>
      </c>
    </row>
    <row r="1169" spans="1:8" x14ac:dyDescent="0.2">
      <c r="A1169" s="32" t="s">
        <v>936</v>
      </c>
      <c r="B1169" s="27" t="s">
        <v>937</v>
      </c>
      <c r="C1169" s="68">
        <v>983.976</v>
      </c>
      <c r="D1169" s="68">
        <v>442.78919999999999</v>
      </c>
      <c r="E1169" s="69" t="s">
        <v>8</v>
      </c>
      <c r="F1169" s="68"/>
      <c r="G1169" s="70">
        <v>44652</v>
      </c>
      <c r="H1169" s="71">
        <v>44926</v>
      </c>
    </row>
    <row r="1170" spans="1:8" x14ac:dyDescent="0.2">
      <c r="A1170" s="32" t="s">
        <v>1073</v>
      </c>
      <c r="B1170" s="27" t="s">
        <v>1074</v>
      </c>
      <c r="C1170" s="68">
        <v>1170.4035000000001</v>
      </c>
      <c r="D1170" s="68">
        <v>526.68157500000007</v>
      </c>
      <c r="E1170" s="69" t="s">
        <v>8</v>
      </c>
      <c r="F1170" s="68"/>
      <c r="G1170" s="70">
        <v>44652</v>
      </c>
      <c r="H1170" s="71">
        <v>44926</v>
      </c>
    </row>
    <row r="1171" spans="1:8" x14ac:dyDescent="0.2">
      <c r="A1171" s="32" t="s">
        <v>1157</v>
      </c>
      <c r="B1171" s="27" t="s">
        <v>1158</v>
      </c>
      <c r="C1171" s="68">
        <v>960</v>
      </c>
      <c r="D1171" s="68">
        <v>432</v>
      </c>
      <c r="E1171" s="69" t="s">
        <v>8</v>
      </c>
      <c r="F1171" s="68"/>
      <c r="G1171" s="70">
        <v>44652</v>
      </c>
      <c r="H1171" s="71">
        <v>44926</v>
      </c>
    </row>
    <row r="1172" spans="1:8" x14ac:dyDescent="0.2">
      <c r="A1172" s="32" t="s">
        <v>1162</v>
      </c>
      <c r="B1172" s="27" t="s">
        <v>1163</v>
      </c>
      <c r="C1172" s="68">
        <v>1160</v>
      </c>
      <c r="D1172" s="68">
        <v>522</v>
      </c>
      <c r="E1172" s="69" t="s">
        <v>8</v>
      </c>
      <c r="F1172" s="68"/>
      <c r="G1172" s="70">
        <v>44652</v>
      </c>
      <c r="H1172" s="71">
        <v>44926</v>
      </c>
    </row>
    <row r="1173" spans="1:8" x14ac:dyDescent="0.2">
      <c r="A1173" s="32" t="s">
        <v>1155</v>
      </c>
      <c r="B1173" s="27" t="s">
        <v>1156</v>
      </c>
      <c r="C1173" s="68">
        <v>1090</v>
      </c>
      <c r="D1173" s="68">
        <v>490.5</v>
      </c>
      <c r="E1173" s="69" t="s">
        <v>8</v>
      </c>
      <c r="F1173" s="68"/>
      <c r="G1173" s="70">
        <v>44652</v>
      </c>
      <c r="H1173" s="71">
        <v>44926</v>
      </c>
    </row>
    <row r="1174" spans="1:8" x14ac:dyDescent="0.2">
      <c r="A1174" s="32" t="s">
        <v>938</v>
      </c>
      <c r="B1174" s="27" t="s">
        <v>939</v>
      </c>
      <c r="C1174" s="68">
        <v>1290</v>
      </c>
      <c r="D1174" s="68">
        <v>580.5</v>
      </c>
      <c r="E1174" s="69" t="s">
        <v>8</v>
      </c>
      <c r="F1174" s="68"/>
      <c r="G1174" s="70">
        <v>44652</v>
      </c>
      <c r="H1174" s="71">
        <v>44926</v>
      </c>
    </row>
    <row r="1175" spans="1:8" x14ac:dyDescent="0.2">
      <c r="A1175" s="32" t="s">
        <v>940</v>
      </c>
      <c r="B1175" s="27" t="s">
        <v>941</v>
      </c>
      <c r="C1175" s="68">
        <v>644.14</v>
      </c>
      <c r="D1175" s="68">
        <v>289.863</v>
      </c>
      <c r="E1175" s="69" t="s">
        <v>8</v>
      </c>
      <c r="F1175" s="68"/>
      <c r="G1175" s="70">
        <v>44652</v>
      </c>
      <c r="H1175" s="71">
        <v>44926</v>
      </c>
    </row>
    <row r="1176" spans="1:8" x14ac:dyDescent="0.2">
      <c r="A1176" s="32" t="s">
        <v>1125</v>
      </c>
      <c r="B1176" s="27" t="s">
        <v>1126</v>
      </c>
      <c r="C1176" s="68">
        <v>898.63</v>
      </c>
      <c r="D1176" s="68">
        <v>404.38350000000003</v>
      </c>
      <c r="E1176" s="69" t="s">
        <v>8</v>
      </c>
      <c r="F1176" s="68"/>
      <c r="G1176" s="70">
        <v>44652</v>
      </c>
      <c r="H1176" s="71">
        <v>44926</v>
      </c>
    </row>
    <row r="1177" spans="1:8" x14ac:dyDescent="0.2">
      <c r="A1177" s="32" t="s">
        <v>1138</v>
      </c>
      <c r="B1177" s="27" t="s">
        <v>1139</v>
      </c>
      <c r="C1177" s="68">
        <v>1150</v>
      </c>
      <c r="D1177" s="68">
        <v>517.5</v>
      </c>
      <c r="E1177" s="69" t="s">
        <v>8</v>
      </c>
      <c r="F1177" s="68"/>
      <c r="G1177" s="70">
        <v>44652</v>
      </c>
      <c r="H1177" s="71">
        <v>44926</v>
      </c>
    </row>
    <row r="1178" spans="1:8" x14ac:dyDescent="0.2">
      <c r="A1178" s="32" t="s">
        <v>1164</v>
      </c>
      <c r="B1178" s="27" t="s">
        <v>1135</v>
      </c>
      <c r="C1178" s="68">
        <v>980</v>
      </c>
      <c r="D1178" s="68">
        <v>441</v>
      </c>
      <c r="E1178" s="69" t="s">
        <v>8</v>
      </c>
      <c r="F1178" s="68"/>
      <c r="G1178" s="70">
        <v>44652</v>
      </c>
      <c r="H1178" s="71">
        <v>44926</v>
      </c>
    </row>
    <row r="1179" spans="1:8" x14ac:dyDescent="0.2">
      <c r="A1179" s="32" t="s">
        <v>1153</v>
      </c>
      <c r="B1179" s="27" t="s">
        <v>1154</v>
      </c>
      <c r="C1179" s="68">
        <v>1060</v>
      </c>
      <c r="D1179" s="68">
        <v>477</v>
      </c>
      <c r="E1179" s="69" t="s">
        <v>8</v>
      </c>
      <c r="F1179" s="68"/>
      <c r="G1179" s="70">
        <v>44652</v>
      </c>
      <c r="H1179" s="71">
        <v>44926</v>
      </c>
    </row>
    <row r="1180" spans="1:8" x14ac:dyDescent="0.2">
      <c r="A1180" s="32" t="s">
        <v>1115</v>
      </c>
      <c r="B1180" s="27" t="s">
        <v>1116</v>
      </c>
      <c r="C1180" s="68">
        <v>700</v>
      </c>
      <c r="D1180" s="68">
        <v>315</v>
      </c>
      <c r="E1180" s="69" t="s">
        <v>8</v>
      </c>
      <c r="F1180" s="68"/>
      <c r="G1180" s="70">
        <v>44652</v>
      </c>
      <c r="H1180" s="71">
        <v>44926</v>
      </c>
    </row>
    <row r="1181" spans="1:8" x14ac:dyDescent="0.2">
      <c r="A1181" s="32" t="s">
        <v>942</v>
      </c>
      <c r="B1181" s="27" t="s">
        <v>943</v>
      </c>
      <c r="C1181" s="68">
        <v>1000</v>
      </c>
      <c r="D1181" s="68">
        <v>450</v>
      </c>
      <c r="E1181" s="69" t="s">
        <v>8</v>
      </c>
      <c r="F1181" s="68"/>
      <c r="G1181" s="70">
        <v>44652</v>
      </c>
      <c r="H1181" s="71">
        <v>44926</v>
      </c>
    </row>
    <row r="1182" spans="1:8" x14ac:dyDescent="0.2">
      <c r="A1182" s="32" t="s">
        <v>1134</v>
      </c>
      <c r="B1182" s="27" t="s">
        <v>1135</v>
      </c>
      <c r="C1182" s="68">
        <v>1050</v>
      </c>
      <c r="D1182" s="68">
        <v>472.5</v>
      </c>
      <c r="E1182" s="69" t="s">
        <v>8</v>
      </c>
      <c r="F1182" s="68"/>
      <c r="G1182" s="70">
        <v>44652</v>
      </c>
      <c r="H1182" s="71">
        <v>44926</v>
      </c>
    </row>
    <row r="1183" spans="1:8" x14ac:dyDescent="0.2">
      <c r="A1183" s="32" t="s">
        <v>944</v>
      </c>
      <c r="B1183" s="27" t="s">
        <v>945</v>
      </c>
      <c r="C1183" s="68">
        <v>644.36</v>
      </c>
      <c r="D1183" s="68">
        <v>289.96199999999999</v>
      </c>
      <c r="E1183" s="69" t="s">
        <v>8</v>
      </c>
      <c r="F1183" s="68"/>
      <c r="G1183" s="70">
        <v>44652</v>
      </c>
      <c r="H1183" s="71">
        <v>44926</v>
      </c>
    </row>
    <row r="1184" spans="1:8" x14ac:dyDescent="0.2">
      <c r="A1184" s="32" t="s">
        <v>1140</v>
      </c>
      <c r="B1184" s="27" t="s">
        <v>1116</v>
      </c>
      <c r="C1184" s="68">
        <v>790</v>
      </c>
      <c r="D1184" s="68">
        <v>355.5</v>
      </c>
      <c r="E1184" s="69" t="s">
        <v>8</v>
      </c>
      <c r="F1184" s="68"/>
      <c r="G1184" s="70">
        <v>44652</v>
      </c>
      <c r="H1184" s="71">
        <v>44926</v>
      </c>
    </row>
    <row r="1185" spans="1:8" x14ac:dyDescent="0.2">
      <c r="A1185" s="32" t="s">
        <v>1144</v>
      </c>
      <c r="B1185" s="27" t="s">
        <v>1145</v>
      </c>
      <c r="C1185" s="68">
        <v>1130</v>
      </c>
      <c r="D1185" s="68">
        <v>508.5</v>
      </c>
      <c r="E1185" s="69" t="s">
        <v>8</v>
      </c>
      <c r="F1185" s="68"/>
      <c r="G1185" s="70">
        <v>44652</v>
      </c>
      <c r="H1185" s="71">
        <v>44926</v>
      </c>
    </row>
    <row r="1186" spans="1:8" x14ac:dyDescent="0.2">
      <c r="A1186" s="32" t="s">
        <v>946</v>
      </c>
      <c r="B1186" s="27" t="s">
        <v>947</v>
      </c>
      <c r="C1186" s="68">
        <v>110.98500000000001</v>
      </c>
      <c r="D1186" s="68">
        <v>49.943250000000006</v>
      </c>
      <c r="E1186" s="69" t="s">
        <v>954</v>
      </c>
      <c r="F1186" s="68">
        <v>46.447222500000009</v>
      </c>
      <c r="G1186" s="70">
        <v>44652</v>
      </c>
      <c r="H1186" s="71">
        <v>44926</v>
      </c>
    </row>
    <row r="1187" spans="1:8" x14ac:dyDescent="0.2">
      <c r="A1187" s="32" t="s">
        <v>948</v>
      </c>
      <c r="B1187" s="27" t="s">
        <v>949</v>
      </c>
      <c r="C1187" s="68">
        <v>91.96</v>
      </c>
      <c r="D1187" s="68">
        <v>41.381999999999998</v>
      </c>
      <c r="E1187" s="69" t="s">
        <v>954</v>
      </c>
      <c r="F1187" s="68">
        <v>38.485259999999997</v>
      </c>
      <c r="G1187" s="70">
        <v>44652</v>
      </c>
      <c r="H1187" s="71">
        <v>44926</v>
      </c>
    </row>
    <row r="1188" spans="1:8" x14ac:dyDescent="0.2">
      <c r="A1188" s="32" t="s">
        <v>950</v>
      </c>
      <c r="B1188" s="27" t="s">
        <v>951</v>
      </c>
      <c r="C1188" s="68">
        <v>90.100500000000011</v>
      </c>
      <c r="D1188" s="68">
        <v>40.545225000000009</v>
      </c>
      <c r="E1188" s="69" t="s">
        <v>954</v>
      </c>
      <c r="F1188" s="68">
        <v>37.707059250000007</v>
      </c>
      <c r="G1188" s="70">
        <v>44652</v>
      </c>
      <c r="H1188" s="71">
        <v>44926</v>
      </c>
    </row>
    <row r="1189" spans="1:8" x14ac:dyDescent="0.2">
      <c r="A1189" s="32" t="s">
        <v>952</v>
      </c>
      <c r="B1189" s="27" t="s">
        <v>953</v>
      </c>
      <c r="C1189" s="68">
        <v>49.25</v>
      </c>
      <c r="D1189" s="68">
        <v>22.162500000000001</v>
      </c>
      <c r="E1189" s="69" t="s">
        <v>954</v>
      </c>
      <c r="F1189" s="68">
        <v>20.611125000000001</v>
      </c>
      <c r="G1189" s="70">
        <v>44652</v>
      </c>
      <c r="H1189" s="71">
        <v>44926</v>
      </c>
    </row>
    <row r="1190" spans="1:8" x14ac:dyDescent="0.2">
      <c r="A1190" s="32" t="s">
        <v>1342</v>
      </c>
      <c r="B1190" s="27" t="s">
        <v>1343</v>
      </c>
      <c r="C1190" s="68">
        <v>46.599000000000004</v>
      </c>
      <c r="D1190" s="68">
        <v>20.969550000000002</v>
      </c>
      <c r="E1190" s="69" t="s">
        <v>954</v>
      </c>
      <c r="F1190" s="68">
        <v>19.501681500000004</v>
      </c>
      <c r="G1190" s="70">
        <v>44652</v>
      </c>
      <c r="H1190" s="71">
        <v>44926</v>
      </c>
    </row>
    <row r="1191" spans="1:8" ht="13.5" thickBot="1" x14ac:dyDescent="0.25">
      <c r="A1191" s="33" t="s">
        <v>1348</v>
      </c>
      <c r="B1191" s="34" t="s">
        <v>1349</v>
      </c>
      <c r="C1191" s="56">
        <v>107.19450000000001</v>
      </c>
      <c r="D1191" s="56">
        <v>48.237525000000005</v>
      </c>
      <c r="E1191" s="35" t="s">
        <v>954</v>
      </c>
      <c r="F1191" s="56">
        <v>44.860898250000005</v>
      </c>
      <c r="G1191" s="36">
        <v>44652</v>
      </c>
      <c r="H1191" s="37">
        <v>44926</v>
      </c>
    </row>
  </sheetData>
  <mergeCells count="1">
    <mergeCell ref="A1:H1"/>
  </mergeCells>
  <pageMargins left="0.25" right="0.25" top="0.5" bottom="0.25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SEARCH</vt:lpstr>
      <vt:lpstr>COMPLETE.protected</vt:lpstr>
      <vt:lpstr>COMPLETE.unprotect</vt:lpstr>
      <vt:lpstr>COMPLETE.protected!Betts_01_03_12</vt:lpstr>
      <vt:lpstr>COMPLETE.unprotect!Betts_01_03_12</vt:lpstr>
      <vt:lpstr>COMPLETE.protected!Betts_01_03_12_1</vt:lpstr>
      <vt:lpstr>COMPLETE.unprotect!Betts_01_03_12_1</vt:lpstr>
      <vt:lpstr>COMPLETE.protected!Betts_01_03_12_10</vt:lpstr>
      <vt:lpstr>COMPLETE.unprotect!Betts_01_03_12_10</vt:lpstr>
      <vt:lpstr>COMPLETE.protected!Betts_01_03_12_11</vt:lpstr>
      <vt:lpstr>COMPLETE.unprotect!Betts_01_03_12_11</vt:lpstr>
      <vt:lpstr>COMPLETE.protected!Betts_01_03_12_12</vt:lpstr>
      <vt:lpstr>COMPLETE.unprotect!Betts_01_03_12_12</vt:lpstr>
      <vt:lpstr>COMPLETE.protected!Betts_01_03_12_13</vt:lpstr>
      <vt:lpstr>COMPLETE.unprotect!Betts_01_03_12_13</vt:lpstr>
      <vt:lpstr>COMPLETE.protected!Betts_01_03_12_14</vt:lpstr>
      <vt:lpstr>COMPLETE.unprotect!Betts_01_03_12_14</vt:lpstr>
      <vt:lpstr>COMPLETE.protected!Betts_01_03_12_15</vt:lpstr>
      <vt:lpstr>COMPLETE.unprotect!Betts_01_03_12_15</vt:lpstr>
      <vt:lpstr>COMPLETE.protected!Betts_01_03_12_16</vt:lpstr>
      <vt:lpstr>COMPLETE.unprotect!Betts_01_03_12_16</vt:lpstr>
      <vt:lpstr>COMPLETE.protected!Betts_01_03_12_2</vt:lpstr>
      <vt:lpstr>COMPLETE.unprotect!Betts_01_03_12_2</vt:lpstr>
      <vt:lpstr>COMPLETE.protected!Betts_01_03_12_3</vt:lpstr>
      <vt:lpstr>COMPLETE.unprotect!Betts_01_03_12_3</vt:lpstr>
      <vt:lpstr>COMPLETE.protected!Betts_01_03_12_4</vt:lpstr>
      <vt:lpstr>COMPLETE.unprotect!Betts_01_03_12_4</vt:lpstr>
      <vt:lpstr>COMPLETE.protected!Betts_01_03_12_5</vt:lpstr>
      <vt:lpstr>COMPLETE.unprotect!Betts_01_03_12_5</vt:lpstr>
      <vt:lpstr>COMPLETE.protected!Betts_01_03_12_6</vt:lpstr>
      <vt:lpstr>COMPLETE.unprotect!Betts_01_03_12_6</vt:lpstr>
      <vt:lpstr>COMPLETE.protected!Betts_01_03_12_7</vt:lpstr>
      <vt:lpstr>COMPLETE.unprotect!Betts_01_03_12_7</vt:lpstr>
      <vt:lpstr>COMPLETE.protected!Betts_01_03_12_8</vt:lpstr>
      <vt:lpstr>COMPLETE.unprotect!Betts_01_03_12_8</vt:lpstr>
      <vt:lpstr>COMPLETE.protected!Betts_01_03_12_9</vt:lpstr>
      <vt:lpstr>COMPLETE.unprotect!Betts_01_03_12_9</vt:lpstr>
      <vt:lpstr>COMPLETE.protected!Print_Area</vt:lpstr>
      <vt:lpstr>COMPLETE.unprotect!Print_Area</vt:lpstr>
      <vt:lpstr>COMPLETE.protected!Print_Titles</vt:lpstr>
      <vt:lpstr>COMPLETE.unprotect!Print_Titles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Hanks</dc:creator>
  <cp:lastModifiedBy>Andy Hanks</cp:lastModifiedBy>
  <dcterms:created xsi:type="dcterms:W3CDTF">2021-11-01T19:20:02Z</dcterms:created>
  <dcterms:modified xsi:type="dcterms:W3CDTF">2022-02-28T15:06:25Z</dcterms:modified>
</cp:coreProperties>
</file>